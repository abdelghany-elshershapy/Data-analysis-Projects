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fwa\Documents\"/>
    </mc:Choice>
  </mc:AlternateContent>
  <xr:revisionPtr revIDLastSave="0" documentId="13_ncr:1_{899029C8-816A-4807-904C-D39D0D3E89FE}" xr6:coauthVersionLast="47" xr6:coauthVersionMax="47" xr10:uidLastSave="{00000000-0000-0000-0000-000000000000}"/>
  <bookViews>
    <workbookView xWindow="-108" yWindow="-108" windowWidth="23256" windowHeight="12456" tabRatio="846" firstSheet="2" activeTab="9" xr2:uid="{288C081F-69D6-4073-BC09-80143A11456D}"/>
  </bookViews>
  <sheets>
    <sheet name="pending_system" sheetId="9" r:id="rId1"/>
    <sheet name="systems" sheetId="7" r:id="rId2"/>
    <sheet name="attendance" sheetId="8" r:id="rId3"/>
    <sheet name="users" sheetId="5" r:id="rId4"/>
    <sheet name="unit_1" sheetId="1" r:id="rId5"/>
    <sheet name="unit_2_dailyCA1" sheetId="2" r:id="rId6"/>
    <sheet name="requests for unit_2 daily" sheetId="10" r:id="rId7"/>
    <sheet name="requests for unit 2 monthly FRA" sheetId="11" r:id="rId8"/>
    <sheet name="unit 2 monthly SAREQ &amp;QA" sheetId="12" r:id="rId9"/>
    <sheet name="unit_3" sheetId="3" r:id="rId10"/>
    <sheet name="unit_4" sheetId="13" r:id="rId11"/>
    <sheet name="calender" sheetId="6" r:id="rId12"/>
  </sheets>
  <definedNames>
    <definedName name="_xlnm._FilterDatabase" localSheetId="6" hidden="1">'requests for unit_2 daily'!$B$1:$B$51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2" l="1"/>
  <c r="P4" i="12"/>
  <c r="P5" i="12"/>
  <c r="P6" i="12"/>
  <c r="P7" i="12"/>
  <c r="P8" i="12"/>
  <c r="P2" i="12"/>
  <c r="I3" i="11"/>
  <c r="I4" i="11"/>
  <c r="I5" i="11"/>
  <c r="I6" i="11"/>
  <c r="I7" i="11"/>
  <c r="I8" i="11"/>
  <c r="I2" i="11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I8" i="2" s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A2" i="6" a="1"/>
  <c r="A2" i="6" s="1"/>
  <c r="I2" i="2" l="1"/>
  <c r="I3" i="2"/>
  <c r="I7" i="2"/>
  <c r="I6" i="2"/>
  <c r="I5" i="2"/>
  <c r="I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<sst xmlns="http://schemas.openxmlformats.org/spreadsheetml/2006/main" count="635" uniqueCount="169">
  <si>
    <t>Name</t>
  </si>
  <si>
    <t>Task</t>
  </si>
  <si>
    <t>Target</t>
  </si>
  <si>
    <t>Sunday</t>
  </si>
  <si>
    <t>Monday</t>
  </si>
  <si>
    <t>Tuesday</t>
  </si>
  <si>
    <t>Wednesday</t>
  </si>
  <si>
    <t>Thursday</t>
  </si>
  <si>
    <t>% Completion</t>
  </si>
  <si>
    <t>Pending</t>
  </si>
  <si>
    <t>Ts1</t>
  </si>
  <si>
    <t>Ts2</t>
  </si>
  <si>
    <t>Ts3</t>
  </si>
  <si>
    <t>All Ts</t>
  </si>
  <si>
    <t>Item</t>
  </si>
  <si>
    <t>Sy1</t>
  </si>
  <si>
    <t>Sys2</t>
  </si>
  <si>
    <t>ES1</t>
  </si>
  <si>
    <t>SA1</t>
  </si>
  <si>
    <t>EF1</t>
  </si>
  <si>
    <t>Sick Leave</t>
  </si>
  <si>
    <t>Permission</t>
  </si>
  <si>
    <t>HR Workflow</t>
  </si>
  <si>
    <t>S1 Workflow</t>
  </si>
  <si>
    <t>HR CR1</t>
  </si>
  <si>
    <t>HR P1</t>
  </si>
  <si>
    <t>Advisory &amp; Control</t>
  </si>
  <si>
    <t>Advisory Control (Phone Ext.)</t>
  </si>
  <si>
    <t>K1 Policy</t>
  </si>
  <si>
    <t>Policy &amp; Procedure DIM</t>
  </si>
  <si>
    <t>Approved</t>
  </si>
  <si>
    <t>Data Collection</t>
  </si>
  <si>
    <t>Tracking Log</t>
  </si>
  <si>
    <t>QA Checklist</t>
  </si>
  <si>
    <t>Quarterly Report</t>
  </si>
  <si>
    <t>Rejected</t>
  </si>
  <si>
    <t>Role</t>
  </si>
  <si>
    <t>Maker</t>
  </si>
  <si>
    <t>Approver</t>
  </si>
  <si>
    <t>Total Requests</t>
  </si>
  <si>
    <t>Total Names</t>
  </si>
  <si>
    <t>TR</t>
  </si>
  <si>
    <t>IM</t>
  </si>
  <si>
    <t>Others</t>
  </si>
  <si>
    <t>C1</t>
  </si>
  <si>
    <t>O1</t>
  </si>
  <si>
    <t>BD</t>
  </si>
  <si>
    <t>UNBD</t>
  </si>
  <si>
    <t>NR</t>
  </si>
  <si>
    <t>Remarks</t>
  </si>
  <si>
    <t>Total Completed</t>
  </si>
  <si>
    <t>Comment</t>
  </si>
  <si>
    <t>On Track</t>
  </si>
  <si>
    <t>Stable</t>
  </si>
  <si>
    <t>Recently Improving</t>
  </si>
  <si>
    <t>Monitor</t>
  </si>
  <si>
    <t>Warning – SLA Delay</t>
  </si>
  <si>
    <t>Risk</t>
  </si>
  <si>
    <t>High Performer</t>
  </si>
  <si>
    <t>Strong</t>
  </si>
  <si>
    <t>Needs Documentation Fix</t>
  </si>
  <si>
    <t>Coaching</t>
  </si>
  <si>
    <t>Consistent</t>
  </si>
  <si>
    <t>Total</t>
  </si>
  <si>
    <t>Date</t>
  </si>
  <si>
    <t>user_number</t>
  </si>
  <si>
    <t>approval_1</t>
  </si>
  <si>
    <t>approval_2</t>
  </si>
  <si>
    <t>approval_3</t>
  </si>
  <si>
    <t>approval_4</t>
  </si>
  <si>
    <t>approval_5</t>
  </si>
  <si>
    <t>approval_6</t>
  </si>
  <si>
    <t>approval_7</t>
  </si>
  <si>
    <t>approval_8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</si>
  <si>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</si>
  <si>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</si>
  <si>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</si>
  <si>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</si>
  <si>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</si>
  <si>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</si>
  <si>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</si>
  <si>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</si>
  <si>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</si>
  <si>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</si>
  <si>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</si>
  <si>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</si>
  <si>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</si>
  <si>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</si>
  <si>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</si>
  <si>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</si>
  <si>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</si>
  <si>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</si>
  <si>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</si>
  <si>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</si>
  <si>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</si>
  <si>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</si>
  <si>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</si>
  <si>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</si>
  <si>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 xml:space="preserve">role </t>
  </si>
  <si>
    <t>name</t>
  </si>
  <si>
    <t>maker</t>
  </si>
  <si>
    <t>unite</t>
  </si>
  <si>
    <t>unit_A</t>
  </si>
  <si>
    <t>unit_B</t>
  </si>
  <si>
    <t>unit_C</t>
  </si>
  <si>
    <t>unit_D</t>
  </si>
  <si>
    <t>Month</t>
  </si>
  <si>
    <t>uers_id</t>
  </si>
  <si>
    <t>user_id</t>
  </si>
  <si>
    <t>system_id</t>
  </si>
  <si>
    <t>system_name</t>
  </si>
  <si>
    <t>Mandatory  Completed Courses</t>
  </si>
  <si>
    <t>Request_ID</t>
  </si>
  <si>
    <t>Status</t>
  </si>
  <si>
    <t>Return</t>
  </si>
  <si>
    <t>total  AV and DU</t>
  </si>
  <si>
    <t>total AV</t>
  </si>
  <si>
    <t xml:space="preserve">total DU </t>
  </si>
  <si>
    <t>subcategory</t>
  </si>
  <si>
    <t>category</t>
  </si>
  <si>
    <t>CA1</t>
  </si>
  <si>
    <t>Vendor Approved</t>
  </si>
  <si>
    <t>Vendor Rejected</t>
  </si>
  <si>
    <t>Vendor Return</t>
  </si>
  <si>
    <t>NPDD Approved</t>
  </si>
  <si>
    <t>NPDD Rejected</t>
  </si>
  <si>
    <t>NPDD Return</t>
  </si>
  <si>
    <t>Total Cases</t>
  </si>
  <si>
    <t>User_name</t>
  </si>
  <si>
    <t>Category</t>
  </si>
  <si>
    <t>Report 1</t>
  </si>
  <si>
    <t>CE Request</t>
  </si>
  <si>
    <t>RA</t>
  </si>
  <si>
    <t>CCM</t>
  </si>
  <si>
    <t>Daily Monitoring</t>
  </si>
  <si>
    <t>S1 Statistics</t>
  </si>
  <si>
    <t>KPI Past Due</t>
  </si>
  <si>
    <t>Monthly Review</t>
  </si>
  <si>
    <t>Deferral Report</t>
  </si>
  <si>
    <t>SAREQ</t>
  </si>
  <si>
    <t>QA</t>
  </si>
  <si>
    <t>type</t>
  </si>
  <si>
    <t>outsource</t>
  </si>
  <si>
    <t>Pass</t>
  </si>
  <si>
    <t>SYS3</t>
  </si>
  <si>
    <t>Failed</t>
  </si>
  <si>
    <t>Pass REF</t>
  </si>
  <si>
    <t>Failed REF</t>
  </si>
  <si>
    <t>Investigate</t>
  </si>
  <si>
    <t>user_name</t>
  </si>
  <si>
    <t>User _1</t>
  </si>
  <si>
    <t>User _2</t>
  </si>
  <si>
    <t>User _3</t>
  </si>
  <si>
    <t>User _4</t>
  </si>
  <si>
    <t>User _5</t>
  </si>
  <si>
    <t>User _6</t>
  </si>
  <si>
    <t>User _7</t>
  </si>
  <si>
    <t>User _8</t>
  </si>
  <si>
    <t>Approver _1</t>
  </si>
  <si>
    <t>Approver_ 2</t>
  </si>
  <si>
    <t>User_ 3</t>
  </si>
  <si>
    <t>User_ 4</t>
  </si>
  <si>
    <t>User_ 7</t>
  </si>
  <si>
    <t>User_ 8</t>
  </si>
  <si>
    <t>User_ 2</t>
  </si>
  <si>
    <t>User_ 1</t>
  </si>
  <si>
    <t>User_ 6</t>
  </si>
  <si>
    <t>System_name</t>
  </si>
  <si>
    <t xml:space="preserve">achieved tasks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</si>
</sst>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43C84-AD5D-48B5-BE99-0C8603866A49}" name="Table1" displayName="Table1" ref="A1:B6" totalsRowShown="0">
  <autoFilter ref="A1:B6" xr:uid="{65843C84-AD5D-48B5-BE99-0C8603866A49}"/>
  <tableColumns count="2">
    <tableColumn id="1" xr3:uid="{C52AEC46-2373-46C1-8003-5DBA48023DE2}" name="system_id"/>
    <tableColumn id="2" xr3:uid="{3F8A964C-C1D8-404E-8478-BD9641CE689B}" name="system_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76BE-E565-4A66-BDC1-E2E50AAE6CB9}">
  <dimension ref="A1:G6"/>
  <sheetViews>
    <sheetView workbookViewId="0">
      <selection activeCell="D8" sqref="D8"/>
    </sheetView>
  </sheetViews>
  <sheetFormatPr defaultRowHeight="14.4" x14ac:dyDescent="0.3"/>
  <cols>
    <col min="6" max="6" width="12.5546875" customWidth="1"/>
  </cols>
  <sheetData>
    <row r="1" spans="1:7" x14ac:dyDescent="0.3">
      <c r="A1" s="11" t="s">
        <v>109</v>
      </c>
      <c r="B1" s="1" t="s">
        <v>14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>
        <v>100</v>
      </c>
      <c r="B2" s="2" t="s">
        <v>15</v>
      </c>
      <c r="C2" s="2">
        <v>5</v>
      </c>
      <c r="D2" s="2">
        <v>4</v>
      </c>
      <c r="E2" s="2">
        <v>3</v>
      </c>
      <c r="F2" s="2">
        <v>2</v>
      </c>
      <c r="G2" s="2">
        <v>2</v>
      </c>
    </row>
    <row r="3" spans="1:7" x14ac:dyDescent="0.3">
      <c r="A3">
        <v>200</v>
      </c>
      <c r="B3" s="2" t="s">
        <v>16</v>
      </c>
      <c r="C3" s="2">
        <v>3</v>
      </c>
      <c r="D3" s="2">
        <v>3</v>
      </c>
      <c r="E3" s="2">
        <v>4</v>
      </c>
      <c r="F3" s="2">
        <v>4</v>
      </c>
      <c r="G3" s="2">
        <v>5</v>
      </c>
    </row>
    <row r="4" spans="1:7" x14ac:dyDescent="0.3">
      <c r="A4">
        <v>300</v>
      </c>
      <c r="B4" s="2" t="s">
        <v>17</v>
      </c>
      <c r="C4" s="2">
        <v>2</v>
      </c>
      <c r="D4" s="2">
        <v>3</v>
      </c>
      <c r="E4" s="2">
        <v>2</v>
      </c>
      <c r="F4" s="2">
        <v>3</v>
      </c>
      <c r="G4" s="2">
        <v>4</v>
      </c>
    </row>
    <row r="5" spans="1:7" x14ac:dyDescent="0.3">
      <c r="A5">
        <v>400</v>
      </c>
      <c r="B5" s="2" t="s">
        <v>18</v>
      </c>
      <c r="C5" s="2">
        <v>4</v>
      </c>
      <c r="D5" s="2">
        <v>5</v>
      </c>
      <c r="E5" s="2">
        <v>5</v>
      </c>
      <c r="F5" s="2">
        <v>4</v>
      </c>
      <c r="G5" s="2">
        <v>3</v>
      </c>
    </row>
    <row r="6" spans="1:7" x14ac:dyDescent="0.3">
      <c r="A6">
        <v>500</v>
      </c>
      <c r="B6" s="2" t="s">
        <v>19</v>
      </c>
      <c r="C6" s="2">
        <v>1</v>
      </c>
      <c r="D6" s="2">
        <v>2</v>
      </c>
      <c r="E6" s="2">
        <v>2</v>
      </c>
      <c r="F6" s="2">
        <v>3</v>
      </c>
      <c r="G6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F204-673C-4D3C-A5B7-8F140C741B6E}">
  <dimension ref="A1:B6"/>
  <sheetViews>
    <sheetView workbookViewId="0">
      <selection activeCell="C1" sqref="C1:C1048576"/>
    </sheetView>
  </sheetViews>
  <sheetFormatPr defaultRowHeight="14.4" x14ac:dyDescent="0.3"/>
  <cols>
    <col min="1" max="1" width="10.77734375" customWidth="1"/>
    <col min="2" max="2" width="13.88671875" customWidth="1"/>
  </cols>
  <sheetData>
    <row r="1" spans="1:2" x14ac:dyDescent="0.3">
      <c r="A1" t="s">
        <v>109</v>
      </c>
      <c r="B1" t="s">
        <v>110</v>
      </c>
    </row>
    <row r="2" spans="1:2" x14ac:dyDescent="0.3">
      <c r="A2">
        <v>100</v>
      </c>
      <c r="B2" s="2" t="s">
        <v>15</v>
      </c>
    </row>
    <row r="3" spans="1:2" x14ac:dyDescent="0.3">
      <c r="A3">
        <v>200</v>
      </c>
      <c r="B3" s="2" t="s">
        <v>16</v>
      </c>
    </row>
    <row r="4" spans="1:2" x14ac:dyDescent="0.3">
      <c r="A4">
        <v>300</v>
      </c>
      <c r="B4" s="2" t="s">
        <v>17</v>
      </c>
    </row>
    <row r="5" spans="1:2" x14ac:dyDescent="0.3">
      <c r="A5">
        <v>400</v>
      </c>
      <c r="B5" s="2" t="s">
        <v>18</v>
      </c>
    </row>
    <row r="6" spans="1:2" x14ac:dyDescent="0.3">
      <c r="A6">
        <v>500</v>
      </c>
      <c r="B6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6278-285E-4256-B9A0-C1DC08F3B67E}">
  <dimension ref="A1:E50"/>
  <sheetViews>
    <sheetView workbookViewId="0">
      <selection activeCell="E1" sqref="E1"/>
    </sheetView>
  </sheetViews>
  <sheetFormatPr defaultRowHeight="14.4" x14ac:dyDescent="0.3"/>
  <cols>
    <col min="2" max="2" width="11.21875" customWidth="1"/>
    <col min="3" max="3" width="14.44140625" customWidth="1"/>
    <col min="4" max="4" width="29.33203125" style="14" customWidth="1"/>
  </cols>
  <sheetData>
    <row r="1" spans="1:5" x14ac:dyDescent="0.3">
      <c r="A1" s="10" t="s">
        <v>108</v>
      </c>
      <c r="B1" s="1" t="s">
        <v>20</v>
      </c>
      <c r="C1" s="1" t="s">
        <v>21</v>
      </c>
      <c r="D1" s="12" t="s">
        <v>111</v>
      </c>
      <c r="E1" s="16" t="s">
        <v>106</v>
      </c>
    </row>
    <row r="2" spans="1:5" x14ac:dyDescent="0.3">
      <c r="A2">
        <v>1</v>
      </c>
      <c r="B2" s="2">
        <v>0</v>
      </c>
      <c r="C2" s="2">
        <v>1</v>
      </c>
      <c r="D2" s="13">
        <v>2</v>
      </c>
      <c r="E2" s="6">
        <v>46023</v>
      </c>
    </row>
    <row r="3" spans="1:5" x14ac:dyDescent="0.3">
      <c r="A3">
        <v>2</v>
      </c>
      <c r="B3" s="2">
        <v>1</v>
      </c>
      <c r="C3" s="2">
        <v>0</v>
      </c>
      <c r="D3" s="13">
        <v>6</v>
      </c>
      <c r="E3" s="6">
        <v>46023</v>
      </c>
    </row>
    <row r="4" spans="1:5" x14ac:dyDescent="0.3">
      <c r="A4">
        <v>3</v>
      </c>
      <c r="B4" s="2">
        <v>0</v>
      </c>
      <c r="C4" s="2">
        <v>2</v>
      </c>
      <c r="D4" s="13">
        <v>5</v>
      </c>
      <c r="E4" s="6">
        <v>46023</v>
      </c>
    </row>
    <row r="5" spans="1:5" x14ac:dyDescent="0.3">
      <c r="A5">
        <v>4</v>
      </c>
      <c r="B5" s="2">
        <v>0</v>
      </c>
      <c r="C5" s="2">
        <v>0</v>
      </c>
      <c r="D5" s="13">
        <v>2</v>
      </c>
      <c r="E5" s="6">
        <v>46023</v>
      </c>
    </row>
    <row r="6" spans="1:5" x14ac:dyDescent="0.3">
      <c r="A6">
        <v>5</v>
      </c>
      <c r="B6" s="2">
        <v>2</v>
      </c>
      <c r="C6" s="2">
        <v>1</v>
      </c>
      <c r="D6" s="13">
        <v>0</v>
      </c>
      <c r="E6" s="6">
        <v>46023</v>
      </c>
    </row>
    <row r="7" spans="1:5" x14ac:dyDescent="0.3">
      <c r="A7">
        <v>6</v>
      </c>
      <c r="B7" s="2">
        <v>0</v>
      </c>
      <c r="C7" s="2">
        <v>0</v>
      </c>
      <c r="D7" s="13">
        <v>1</v>
      </c>
      <c r="E7" s="6">
        <v>46023</v>
      </c>
    </row>
    <row r="8" spans="1:5" x14ac:dyDescent="0.3">
      <c r="A8">
        <v>7</v>
      </c>
      <c r="B8" s="2">
        <v>3</v>
      </c>
      <c r="C8" s="2">
        <v>0</v>
      </c>
      <c r="D8" s="13">
        <v>3</v>
      </c>
      <c r="E8" s="6">
        <v>46023</v>
      </c>
    </row>
    <row r="9" spans="1:5" x14ac:dyDescent="0.3">
      <c r="A9">
        <v>8</v>
      </c>
      <c r="B9" s="2">
        <v>1</v>
      </c>
      <c r="C9" s="2">
        <v>1</v>
      </c>
      <c r="D9" s="13">
        <v>5</v>
      </c>
      <c r="E9" s="6">
        <v>46023</v>
      </c>
    </row>
    <row r="10" spans="1:5" x14ac:dyDescent="0.3">
      <c r="A10">
        <v>9</v>
      </c>
      <c r="B10" s="2">
        <v>0</v>
      </c>
      <c r="C10" s="2">
        <v>0</v>
      </c>
      <c r="D10" s="13">
        <v>1</v>
      </c>
      <c r="E10" s="6">
        <v>46023</v>
      </c>
    </row>
    <row r="11" spans="1:5" x14ac:dyDescent="0.3">
      <c r="A11">
        <v>10</v>
      </c>
      <c r="B11" s="2">
        <v>0</v>
      </c>
      <c r="C11" s="2">
        <v>1</v>
      </c>
      <c r="D11" s="13">
        <v>6</v>
      </c>
      <c r="E11" s="6">
        <v>46023</v>
      </c>
    </row>
    <row r="12" spans="1:5" x14ac:dyDescent="0.3">
      <c r="A12">
        <v>11</v>
      </c>
      <c r="B12" s="2">
        <v>0</v>
      </c>
      <c r="C12" s="2">
        <v>0</v>
      </c>
      <c r="D12" s="13">
        <v>1</v>
      </c>
      <c r="E12" s="6">
        <v>46023</v>
      </c>
    </row>
    <row r="13" spans="1:5" x14ac:dyDescent="0.3">
      <c r="A13">
        <v>12</v>
      </c>
      <c r="B13" s="2">
        <v>2</v>
      </c>
      <c r="C13" s="2">
        <v>1</v>
      </c>
      <c r="D13" s="13">
        <v>1</v>
      </c>
      <c r="E13" s="6">
        <v>46023</v>
      </c>
    </row>
    <row r="14" spans="1:5" x14ac:dyDescent="0.3">
      <c r="A14">
        <v>13</v>
      </c>
      <c r="B14" s="2">
        <v>0</v>
      </c>
      <c r="C14" s="2">
        <v>0</v>
      </c>
      <c r="D14" s="13">
        <v>0</v>
      </c>
      <c r="E14" s="6">
        <v>46023</v>
      </c>
    </row>
    <row r="15" spans="1:5" x14ac:dyDescent="0.3">
      <c r="A15">
        <v>14</v>
      </c>
      <c r="B15" s="2">
        <v>3</v>
      </c>
      <c r="C15" s="2">
        <v>0</v>
      </c>
      <c r="D15" s="13">
        <v>1</v>
      </c>
      <c r="E15" s="6">
        <v>46023</v>
      </c>
    </row>
    <row r="16" spans="1:5" x14ac:dyDescent="0.3">
      <c r="A16">
        <v>15</v>
      </c>
      <c r="B16" s="2">
        <v>1</v>
      </c>
      <c r="C16" s="2">
        <v>1</v>
      </c>
      <c r="D16" s="13">
        <v>3</v>
      </c>
      <c r="E16" s="6">
        <v>46023</v>
      </c>
    </row>
    <row r="17" spans="1:5" x14ac:dyDescent="0.3">
      <c r="A17">
        <v>16</v>
      </c>
      <c r="B17" s="2">
        <v>0</v>
      </c>
      <c r="C17" s="2">
        <v>0</v>
      </c>
      <c r="D17" s="13">
        <v>5</v>
      </c>
      <c r="E17" s="6">
        <v>46023</v>
      </c>
    </row>
    <row r="18" spans="1:5" x14ac:dyDescent="0.3">
      <c r="A18">
        <v>17</v>
      </c>
      <c r="B18" s="2">
        <v>0</v>
      </c>
      <c r="C18" s="2">
        <v>1</v>
      </c>
      <c r="D18" s="13">
        <v>1</v>
      </c>
      <c r="E18" s="6">
        <v>46023</v>
      </c>
    </row>
    <row r="19" spans="1:5" x14ac:dyDescent="0.3">
      <c r="A19">
        <v>18</v>
      </c>
      <c r="B19" s="2">
        <v>0</v>
      </c>
      <c r="C19" s="2">
        <v>0</v>
      </c>
      <c r="D19" s="13">
        <v>6</v>
      </c>
      <c r="E19" s="6">
        <v>46023</v>
      </c>
    </row>
    <row r="20" spans="1:5" x14ac:dyDescent="0.3">
      <c r="A20">
        <v>19</v>
      </c>
      <c r="B20" s="2">
        <v>3</v>
      </c>
      <c r="C20" s="2">
        <v>0</v>
      </c>
      <c r="D20" s="13">
        <v>5</v>
      </c>
      <c r="E20" s="6">
        <v>46023</v>
      </c>
    </row>
    <row r="21" spans="1:5" x14ac:dyDescent="0.3">
      <c r="A21">
        <v>20</v>
      </c>
      <c r="B21" s="2">
        <v>1</v>
      </c>
      <c r="C21" s="2">
        <v>1</v>
      </c>
      <c r="D21" s="13">
        <v>1</v>
      </c>
      <c r="E21" s="6">
        <v>46023</v>
      </c>
    </row>
    <row r="22" spans="1:5" x14ac:dyDescent="0.3">
      <c r="A22">
        <v>21</v>
      </c>
      <c r="B22" s="2">
        <v>0</v>
      </c>
      <c r="C22" s="2">
        <v>0</v>
      </c>
      <c r="D22" s="13">
        <v>6</v>
      </c>
      <c r="E22" s="6">
        <v>46023</v>
      </c>
    </row>
    <row r="23" spans="1:5" x14ac:dyDescent="0.3">
      <c r="A23">
        <v>22</v>
      </c>
      <c r="B23" s="2">
        <v>0</v>
      </c>
      <c r="C23" s="2">
        <v>1</v>
      </c>
      <c r="D23" s="13">
        <v>1</v>
      </c>
      <c r="E23" s="6">
        <v>46023</v>
      </c>
    </row>
    <row r="24" spans="1:5" x14ac:dyDescent="0.3">
      <c r="A24">
        <v>23</v>
      </c>
      <c r="B24" s="2">
        <v>0</v>
      </c>
      <c r="C24" s="2">
        <v>0</v>
      </c>
      <c r="D24" s="13">
        <v>1</v>
      </c>
      <c r="E24" s="6">
        <v>46023</v>
      </c>
    </row>
    <row r="25" spans="1:5" x14ac:dyDescent="0.3">
      <c r="A25">
        <v>24</v>
      </c>
      <c r="B25" s="2">
        <v>2</v>
      </c>
      <c r="C25" s="2">
        <v>1</v>
      </c>
      <c r="D25" s="13">
        <v>0</v>
      </c>
      <c r="E25" s="6">
        <v>46023</v>
      </c>
    </row>
    <row r="26" spans="1:5" x14ac:dyDescent="0.3">
      <c r="A26">
        <v>25</v>
      </c>
      <c r="B26" s="2">
        <v>0</v>
      </c>
      <c r="C26" s="2">
        <v>0</v>
      </c>
      <c r="D26" s="13">
        <v>1</v>
      </c>
      <c r="E26" s="6">
        <v>46023</v>
      </c>
    </row>
    <row r="27" spans="1:5" x14ac:dyDescent="0.3">
      <c r="A27">
        <v>26</v>
      </c>
      <c r="B27" s="2">
        <v>0</v>
      </c>
      <c r="C27" s="2">
        <v>0</v>
      </c>
      <c r="D27" s="13">
        <v>3</v>
      </c>
      <c r="E27" s="6">
        <v>46023</v>
      </c>
    </row>
    <row r="28" spans="1:5" x14ac:dyDescent="0.3">
      <c r="A28">
        <v>27</v>
      </c>
      <c r="B28" s="2">
        <v>0</v>
      </c>
      <c r="C28" s="2">
        <v>1</v>
      </c>
      <c r="D28" s="13">
        <v>5</v>
      </c>
      <c r="E28" s="6">
        <v>46023</v>
      </c>
    </row>
    <row r="29" spans="1:5" x14ac:dyDescent="0.3">
      <c r="A29">
        <v>28</v>
      </c>
      <c r="B29" s="2">
        <v>0</v>
      </c>
      <c r="C29" s="2">
        <v>0</v>
      </c>
      <c r="D29" s="13">
        <v>1</v>
      </c>
      <c r="E29" s="6">
        <v>46023</v>
      </c>
    </row>
    <row r="30" spans="1:5" x14ac:dyDescent="0.3">
      <c r="A30">
        <v>29</v>
      </c>
      <c r="B30" s="2">
        <v>3</v>
      </c>
      <c r="C30" s="2">
        <v>0</v>
      </c>
      <c r="D30" s="13">
        <v>6</v>
      </c>
      <c r="E30" s="6">
        <v>46023</v>
      </c>
    </row>
    <row r="31" spans="1:5" x14ac:dyDescent="0.3">
      <c r="A31">
        <v>30</v>
      </c>
      <c r="B31" s="2">
        <v>1</v>
      </c>
      <c r="C31" s="2">
        <v>1</v>
      </c>
      <c r="D31" s="13">
        <v>2</v>
      </c>
      <c r="E31" s="6">
        <v>46023</v>
      </c>
    </row>
    <row r="32" spans="1:5" x14ac:dyDescent="0.3">
      <c r="A32">
        <v>31</v>
      </c>
      <c r="B32" s="2">
        <v>0</v>
      </c>
      <c r="C32" s="2">
        <v>0</v>
      </c>
      <c r="D32" s="13">
        <v>6</v>
      </c>
      <c r="E32" s="6">
        <v>46023</v>
      </c>
    </row>
    <row r="33" spans="1:5" x14ac:dyDescent="0.3">
      <c r="A33">
        <v>32</v>
      </c>
      <c r="B33" s="2">
        <v>0</v>
      </c>
      <c r="C33" s="2">
        <v>1</v>
      </c>
      <c r="D33" s="13">
        <v>5</v>
      </c>
      <c r="E33" s="6">
        <v>46023</v>
      </c>
    </row>
    <row r="34" spans="1:5" x14ac:dyDescent="0.3">
      <c r="A34">
        <v>33</v>
      </c>
      <c r="B34" s="2">
        <v>0</v>
      </c>
      <c r="C34" s="2">
        <v>0</v>
      </c>
      <c r="D34" s="13">
        <v>2</v>
      </c>
      <c r="E34" s="6">
        <v>46023</v>
      </c>
    </row>
    <row r="35" spans="1:5" x14ac:dyDescent="0.3">
      <c r="A35">
        <v>34</v>
      </c>
      <c r="B35" s="2">
        <v>0</v>
      </c>
      <c r="C35" s="2">
        <v>0</v>
      </c>
      <c r="D35" s="13">
        <v>0</v>
      </c>
      <c r="E35" s="6">
        <v>46023</v>
      </c>
    </row>
    <row r="36" spans="1:5" x14ac:dyDescent="0.3">
      <c r="A36">
        <v>35</v>
      </c>
      <c r="B36" s="2">
        <v>0</v>
      </c>
      <c r="C36" s="2">
        <v>1</v>
      </c>
      <c r="D36" s="13">
        <v>1</v>
      </c>
      <c r="E36" s="6">
        <v>46023</v>
      </c>
    </row>
    <row r="37" spans="1:5" x14ac:dyDescent="0.3">
      <c r="A37">
        <v>36</v>
      </c>
      <c r="B37" s="2">
        <v>0</v>
      </c>
      <c r="C37" s="2">
        <v>0</v>
      </c>
      <c r="D37" s="13">
        <v>3</v>
      </c>
      <c r="E37" s="6">
        <v>46023</v>
      </c>
    </row>
    <row r="38" spans="1:5" x14ac:dyDescent="0.3">
      <c r="A38">
        <v>37</v>
      </c>
      <c r="B38" s="2">
        <v>3</v>
      </c>
      <c r="C38" s="2">
        <v>0</v>
      </c>
      <c r="D38" s="13">
        <v>5</v>
      </c>
      <c r="E38" s="6">
        <v>46023</v>
      </c>
    </row>
    <row r="39" spans="1:5" x14ac:dyDescent="0.3">
      <c r="A39">
        <v>38</v>
      </c>
      <c r="B39" s="2">
        <v>1</v>
      </c>
      <c r="C39" s="2">
        <v>1</v>
      </c>
      <c r="D39" s="13">
        <v>1</v>
      </c>
      <c r="E39" s="6">
        <v>46023</v>
      </c>
    </row>
    <row r="40" spans="1:5" x14ac:dyDescent="0.3">
      <c r="A40">
        <v>39</v>
      </c>
      <c r="B40" s="2">
        <v>0</v>
      </c>
      <c r="C40" s="2">
        <v>0</v>
      </c>
      <c r="D40" s="13">
        <v>6</v>
      </c>
      <c r="E40" s="6">
        <v>46023</v>
      </c>
    </row>
    <row r="41" spans="1:5" x14ac:dyDescent="0.3">
      <c r="A41">
        <v>40</v>
      </c>
      <c r="B41" s="2">
        <v>0</v>
      </c>
      <c r="C41" s="2">
        <v>1</v>
      </c>
      <c r="D41" s="13">
        <v>1</v>
      </c>
      <c r="E41" s="6">
        <v>46023</v>
      </c>
    </row>
    <row r="42" spans="1:5" x14ac:dyDescent="0.3">
      <c r="B42" s="2">
        <v>0</v>
      </c>
      <c r="C42" s="2">
        <v>0</v>
      </c>
      <c r="D42" s="13">
        <v>1</v>
      </c>
      <c r="E42" s="6">
        <v>46023</v>
      </c>
    </row>
    <row r="43" spans="1:5" x14ac:dyDescent="0.3">
      <c r="D43" s="13"/>
      <c r="E43" s="6"/>
    </row>
    <row r="44" spans="1:5" x14ac:dyDescent="0.3">
      <c r="D44" s="13"/>
      <c r="E44" s="6"/>
    </row>
    <row r="45" spans="1:5" x14ac:dyDescent="0.3">
      <c r="E45" s="6"/>
    </row>
    <row r="46" spans="1:5" x14ac:dyDescent="0.3">
      <c r="E46" s="6"/>
    </row>
    <row r="47" spans="1:5" x14ac:dyDescent="0.3">
      <c r="E47" s="6"/>
    </row>
    <row r="48" spans="1:5" x14ac:dyDescent="0.3">
      <c r="E48" s="6"/>
    </row>
    <row r="49" spans="5:5" x14ac:dyDescent="0.3">
      <c r="E49" s="6"/>
    </row>
    <row r="50" spans="5:5" x14ac:dyDescent="0.3">
      <c r="E5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9FD5-ABBF-47A3-8A15-5C6CF36A4E8F}">
  <dimension ref="A1:D41"/>
  <sheetViews>
    <sheetView workbookViewId="0">
      <selection activeCell="B10" sqref="B10:B16"/>
    </sheetView>
  </sheetViews>
  <sheetFormatPr defaultRowHeight="14.4" x14ac:dyDescent="0.3"/>
  <cols>
    <col min="1" max="1" width="11.5546875" bestFit="1" customWidth="1"/>
    <col min="2" max="2" width="9.6640625" bestFit="1" customWidth="1"/>
    <col min="3" max="3" width="9.109375" bestFit="1" customWidth="1"/>
  </cols>
  <sheetData>
    <row r="1" spans="1:4" x14ac:dyDescent="0.3">
      <c r="A1" t="s">
        <v>108</v>
      </c>
      <c r="B1" s="7" t="s">
        <v>99</v>
      </c>
      <c r="C1" t="s">
        <v>98</v>
      </c>
      <c r="D1" t="s">
        <v>101</v>
      </c>
    </row>
    <row r="2" spans="1:4" x14ac:dyDescent="0.3">
      <c r="A2">
        <v>1</v>
      </c>
      <c r="B2" s="2" t="s">
        <v>165</v>
      </c>
      <c r="C2" t="s">
        <v>100</v>
      </c>
      <c r="D2" t="s">
        <v>102</v>
      </c>
    </row>
    <row r="3" spans="1:4" x14ac:dyDescent="0.3">
      <c r="A3">
        <v>2</v>
      </c>
      <c r="B3" s="2" t="s">
        <v>164</v>
      </c>
      <c r="C3" t="s">
        <v>100</v>
      </c>
      <c r="D3" t="s">
        <v>102</v>
      </c>
    </row>
    <row r="4" spans="1:4" x14ac:dyDescent="0.3">
      <c r="A4">
        <v>3</v>
      </c>
      <c r="B4" s="2" t="s">
        <v>160</v>
      </c>
      <c r="C4" t="s">
        <v>100</v>
      </c>
      <c r="D4" t="s">
        <v>102</v>
      </c>
    </row>
    <row r="5" spans="1:4" x14ac:dyDescent="0.3">
      <c r="A5">
        <v>4</v>
      </c>
      <c r="B5" s="2" t="s">
        <v>153</v>
      </c>
      <c r="C5" t="s">
        <v>100</v>
      </c>
      <c r="D5" t="s">
        <v>102</v>
      </c>
    </row>
    <row r="6" spans="1:4" x14ac:dyDescent="0.3">
      <c r="A6">
        <v>5</v>
      </c>
      <c r="B6" s="2" t="s">
        <v>154</v>
      </c>
      <c r="C6" t="s">
        <v>100</v>
      </c>
      <c r="D6" t="s">
        <v>102</v>
      </c>
    </row>
    <row r="7" spans="1:4" x14ac:dyDescent="0.3">
      <c r="A7">
        <v>6</v>
      </c>
      <c r="B7" s="2" t="s">
        <v>166</v>
      </c>
      <c r="C7" t="s">
        <v>100</v>
      </c>
      <c r="D7" t="s">
        <v>102</v>
      </c>
    </row>
    <row r="8" spans="1:4" x14ac:dyDescent="0.3">
      <c r="A8">
        <v>7</v>
      </c>
      <c r="B8" s="2" t="s">
        <v>156</v>
      </c>
      <c r="C8" t="s">
        <v>100</v>
      </c>
      <c r="D8" t="s">
        <v>102</v>
      </c>
    </row>
    <row r="9" spans="1:4" x14ac:dyDescent="0.3">
      <c r="A9">
        <v>8</v>
      </c>
      <c r="B9" s="2" t="s">
        <v>157</v>
      </c>
      <c r="C9" t="s">
        <v>100</v>
      </c>
      <c r="D9" t="s">
        <v>102</v>
      </c>
    </row>
    <row r="10" spans="1:4" x14ac:dyDescent="0.3">
      <c r="A10">
        <v>9</v>
      </c>
      <c r="B10" s="2" t="s">
        <v>74</v>
      </c>
      <c r="C10" t="s">
        <v>100</v>
      </c>
      <c r="D10" t="s">
        <v>104</v>
      </c>
    </row>
    <row r="11" spans="1:4" x14ac:dyDescent="0.3">
      <c r="A11">
        <v>10</v>
      </c>
      <c r="B11" s="2" t="s">
        <v>75</v>
      </c>
      <c r="C11" t="s">
        <v>100</v>
      </c>
      <c r="D11" t="s">
        <v>104</v>
      </c>
    </row>
    <row r="12" spans="1:4" x14ac:dyDescent="0.3">
      <c r="A12">
        <v>11</v>
      </c>
      <c r="B12" t="s">
        <v>76</v>
      </c>
      <c r="C12" t="s">
        <v>100</v>
      </c>
      <c r="D12" t="s">
        <v>104</v>
      </c>
    </row>
    <row r="13" spans="1:4" x14ac:dyDescent="0.3">
      <c r="A13">
        <v>12</v>
      </c>
      <c r="B13" t="s">
        <v>77</v>
      </c>
      <c r="C13" t="s">
        <v>100</v>
      </c>
      <c r="D13" t="s">
        <v>104</v>
      </c>
    </row>
    <row r="14" spans="1:4" x14ac:dyDescent="0.3">
      <c r="A14">
        <v>13</v>
      </c>
      <c r="B14" t="s">
        <v>78</v>
      </c>
      <c r="C14" t="s">
        <v>100</v>
      </c>
      <c r="D14" t="s">
        <v>104</v>
      </c>
    </row>
    <row r="15" spans="1:4" x14ac:dyDescent="0.3">
      <c r="A15">
        <v>14</v>
      </c>
      <c r="B15" t="s">
        <v>79</v>
      </c>
      <c r="C15" t="s">
        <v>100</v>
      </c>
      <c r="D15" t="s">
        <v>104</v>
      </c>
    </row>
    <row r="16" spans="1:4" x14ac:dyDescent="0.3">
      <c r="A16">
        <v>15</v>
      </c>
      <c r="B16" t="s">
        <v>80</v>
      </c>
      <c r="C16" t="s">
        <v>100</v>
      </c>
      <c r="D16" t="s">
        <v>104</v>
      </c>
    </row>
    <row r="17" spans="1:4" x14ac:dyDescent="0.3">
      <c r="A17">
        <v>16</v>
      </c>
      <c r="B17" t="s">
        <v>81</v>
      </c>
      <c r="C17" t="s">
        <v>100</v>
      </c>
      <c r="D17" t="s">
        <v>104</v>
      </c>
    </row>
    <row r="18" spans="1:4" x14ac:dyDescent="0.3">
      <c r="A18">
        <v>17</v>
      </c>
      <c r="B18" t="s">
        <v>82</v>
      </c>
      <c r="C18" t="s">
        <v>100</v>
      </c>
      <c r="D18" t="s">
        <v>105</v>
      </c>
    </row>
    <row r="19" spans="1:4" x14ac:dyDescent="0.3">
      <c r="A19">
        <v>18</v>
      </c>
      <c r="B19" t="s">
        <v>83</v>
      </c>
      <c r="C19" t="s">
        <v>100</v>
      </c>
      <c r="D19" t="s">
        <v>105</v>
      </c>
    </row>
    <row r="20" spans="1:4" x14ac:dyDescent="0.3">
      <c r="A20">
        <v>19</v>
      </c>
      <c r="B20" t="s">
        <v>84</v>
      </c>
      <c r="C20" t="s">
        <v>100</v>
      </c>
      <c r="D20" t="s">
        <v>105</v>
      </c>
    </row>
    <row r="21" spans="1:4" x14ac:dyDescent="0.3">
      <c r="A21">
        <v>20</v>
      </c>
      <c r="B21" t="s">
        <v>85</v>
      </c>
      <c r="C21" t="s">
        <v>100</v>
      </c>
      <c r="D21" t="s">
        <v>105</v>
      </c>
    </row>
    <row r="22" spans="1:4" x14ac:dyDescent="0.3">
      <c r="A22">
        <v>21</v>
      </c>
      <c r="B22" t="s">
        <v>86</v>
      </c>
      <c r="C22" t="s">
        <v>100</v>
      </c>
      <c r="D22" t="s">
        <v>105</v>
      </c>
    </row>
    <row r="23" spans="1:4" x14ac:dyDescent="0.3">
      <c r="A23">
        <v>22</v>
      </c>
      <c r="B23" t="s">
        <v>87</v>
      </c>
      <c r="C23" t="s">
        <v>100</v>
      </c>
      <c r="D23" t="s">
        <v>105</v>
      </c>
    </row>
    <row r="24" spans="1:4" x14ac:dyDescent="0.3">
      <c r="A24">
        <v>23</v>
      </c>
      <c r="B24" t="s">
        <v>88</v>
      </c>
      <c r="C24" t="s">
        <v>100</v>
      </c>
      <c r="D24" t="s">
        <v>105</v>
      </c>
    </row>
    <row r="25" spans="1:4" x14ac:dyDescent="0.3">
      <c r="A25">
        <v>24</v>
      </c>
      <c r="B25" t="s">
        <v>89</v>
      </c>
      <c r="C25" t="s">
        <v>100</v>
      </c>
      <c r="D25" t="s">
        <v>103</v>
      </c>
    </row>
    <row r="26" spans="1:4" x14ac:dyDescent="0.3">
      <c r="A26">
        <v>25</v>
      </c>
      <c r="B26" t="s">
        <v>90</v>
      </c>
      <c r="C26" t="s">
        <v>100</v>
      </c>
      <c r="D26" t="s">
        <v>103</v>
      </c>
    </row>
    <row r="27" spans="1:4" x14ac:dyDescent="0.3">
      <c r="A27">
        <v>26</v>
      </c>
      <c r="B27" t="s">
        <v>91</v>
      </c>
      <c r="C27" t="s">
        <v>142</v>
      </c>
      <c r="D27" t="s">
        <v>103</v>
      </c>
    </row>
    <row r="28" spans="1:4" x14ac:dyDescent="0.3">
      <c r="A28">
        <v>27</v>
      </c>
      <c r="B28" t="s">
        <v>92</v>
      </c>
      <c r="C28" t="s">
        <v>142</v>
      </c>
      <c r="D28" t="s">
        <v>103</v>
      </c>
    </row>
    <row r="29" spans="1:4" x14ac:dyDescent="0.3">
      <c r="A29">
        <v>28</v>
      </c>
      <c r="B29" t="s">
        <v>93</v>
      </c>
      <c r="C29" t="s">
        <v>142</v>
      </c>
      <c r="D29" t="s">
        <v>103</v>
      </c>
    </row>
    <row r="30" spans="1:4" x14ac:dyDescent="0.3">
      <c r="A30">
        <v>29</v>
      </c>
      <c r="B30" t="s">
        <v>94</v>
      </c>
      <c r="C30" t="s">
        <v>142</v>
      </c>
      <c r="D30" t="s">
        <v>103</v>
      </c>
    </row>
    <row r="31" spans="1:4" x14ac:dyDescent="0.3">
      <c r="A31">
        <v>30</v>
      </c>
      <c r="B31" t="s">
        <v>95</v>
      </c>
      <c r="C31" t="s">
        <v>142</v>
      </c>
      <c r="D31" t="s">
        <v>103</v>
      </c>
    </row>
    <row r="32" spans="1:4" ht="13.8" customHeight="1" x14ac:dyDescent="0.3">
      <c r="A32">
        <v>31</v>
      </c>
      <c r="B32" t="s">
        <v>96</v>
      </c>
      <c r="C32" t="s">
        <v>142</v>
      </c>
      <c r="D32" t="s">
        <v>103</v>
      </c>
    </row>
    <row r="33" spans="1:4" ht="14.4" customHeight="1" x14ac:dyDescent="0.3">
      <c r="A33">
        <v>32</v>
      </c>
      <c r="B33" t="s">
        <v>97</v>
      </c>
      <c r="C33" t="s">
        <v>142</v>
      </c>
      <c r="D33" t="s">
        <v>103</v>
      </c>
    </row>
    <row r="34" spans="1:4" x14ac:dyDescent="0.3">
      <c r="A34">
        <v>33</v>
      </c>
      <c r="B34" t="s">
        <v>66</v>
      </c>
      <c r="C34" t="s">
        <v>38</v>
      </c>
      <c r="D34" t="s">
        <v>102</v>
      </c>
    </row>
    <row r="35" spans="1:4" x14ac:dyDescent="0.3">
      <c r="A35">
        <v>34</v>
      </c>
      <c r="B35" t="s">
        <v>67</v>
      </c>
      <c r="C35" t="s">
        <v>38</v>
      </c>
      <c r="D35" t="s">
        <v>102</v>
      </c>
    </row>
    <row r="36" spans="1:4" x14ac:dyDescent="0.3">
      <c r="A36">
        <v>35</v>
      </c>
      <c r="B36" t="s">
        <v>68</v>
      </c>
      <c r="C36" t="s">
        <v>38</v>
      </c>
      <c r="D36" t="s">
        <v>103</v>
      </c>
    </row>
    <row r="37" spans="1:4" x14ac:dyDescent="0.3">
      <c r="A37">
        <v>36</v>
      </c>
      <c r="B37" t="s">
        <v>69</v>
      </c>
      <c r="C37" t="s">
        <v>38</v>
      </c>
      <c r="D37" t="s">
        <v>103</v>
      </c>
    </row>
    <row r="38" spans="1:4" x14ac:dyDescent="0.3">
      <c r="A38">
        <v>37</v>
      </c>
      <c r="B38" t="s">
        <v>70</v>
      </c>
      <c r="C38" t="s">
        <v>38</v>
      </c>
      <c r="D38" t="s">
        <v>105</v>
      </c>
    </row>
    <row r="39" spans="1:4" x14ac:dyDescent="0.3">
      <c r="A39">
        <v>38</v>
      </c>
      <c r="B39" t="s">
        <v>71</v>
      </c>
      <c r="C39" t="s">
        <v>38</v>
      </c>
      <c r="D39" t="s">
        <v>105</v>
      </c>
    </row>
    <row r="40" spans="1:4" x14ac:dyDescent="0.3">
      <c r="A40">
        <v>39</v>
      </c>
      <c r="B40" t="s">
        <v>72</v>
      </c>
      <c r="C40" t="s">
        <v>38</v>
      </c>
      <c r="D40" t="s">
        <v>104</v>
      </c>
    </row>
    <row r="41" spans="1:4" x14ac:dyDescent="0.3">
      <c r="A41">
        <v>40</v>
      </c>
      <c r="B41" t="s">
        <v>73</v>
      </c>
      <c r="C41" t="s">
        <v>38</v>
      </c>
      <c r="D41" t="s">
        <v>104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5BA9-B5E0-422C-9AB9-06C577940D79}">
  <dimension ref="A1:Y18"/>
  <sheetViews>
    <sheetView workbookViewId="0">
      <selection activeCell="L2" sqref="L2:L3"/>
    </sheetView>
  </sheetViews>
  <sheetFormatPr defaultRowHeight="14.4" x14ac:dyDescent="0.3"/>
  <cols>
    <col min="2" max="2" width="17.109375" customWidth="1"/>
    <col min="3" max="3" width="9.21875" customWidth="1"/>
    <col min="4" max="4" width="8.5546875" bestFit="1" customWidth="1"/>
    <col min="5" max="5" width="7.5546875" bestFit="1" customWidth="1"/>
    <col min="6" max="6" width="7.77734375" bestFit="1" customWidth="1"/>
    <col min="7" max="7" width="8.109375" bestFit="1" customWidth="1"/>
    <col min="8" max="8" width="11" bestFit="1" customWidth="1"/>
    <col min="9" max="9" width="8.77734375" bestFit="1" customWidth="1"/>
    <col min="10" max="10" width="12.6640625" bestFit="1" customWidth="1"/>
    <col min="11" max="11" width="7.6640625" bestFit="1" customWidth="1"/>
    <col min="14" max="14" width="4.88671875" bestFit="1" customWidth="1"/>
    <col min="15" max="15" width="7.109375" bestFit="1" customWidth="1"/>
    <col min="16" max="16" width="7.44140625" bestFit="1" customWidth="1"/>
    <col min="17" max="17" width="7.77734375" bestFit="1" customWidth="1"/>
    <col min="18" max="18" width="10.6640625" bestFit="1" customWidth="1"/>
    <col min="19" max="19" width="8.44140625" bestFit="1" customWidth="1"/>
    <col min="22" max="22" width="8.21875" bestFit="1" customWidth="1"/>
    <col min="23" max="23" width="5.77734375" bestFit="1" customWidth="1"/>
    <col min="24" max="24" width="8.33203125" bestFit="1" customWidth="1"/>
    <col min="25" max="25" width="16.21875" customWidth="1"/>
  </cols>
  <sheetData>
    <row r="1" spans="1:25" x14ac:dyDescent="0.3">
      <c r="A1" s="10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6" t="s">
        <v>106</v>
      </c>
    </row>
    <row r="2" spans="1:25" x14ac:dyDescent="0.3">
      <c r="A2">
        <v>1</v>
      </c>
      <c r="B2" s="2" t="s">
        <v>150</v>
      </c>
      <c r="C2" s="2" t="s">
        <v>10</v>
      </c>
      <c r="D2" s="15">
        <v>25</v>
      </c>
      <c r="E2" s="15">
        <v>5</v>
      </c>
      <c r="F2" s="15">
        <v>5</v>
      </c>
      <c r="G2" s="15">
        <v>5</v>
      </c>
      <c r="H2" s="15">
        <v>5</v>
      </c>
      <c r="I2" s="15">
        <v>5</v>
      </c>
      <c r="J2" s="3">
        <f>SUM(E2:I2)/D2</f>
        <v>1</v>
      </c>
      <c r="K2" s="3">
        <f>1-J2</f>
        <v>0</v>
      </c>
      <c r="L2" s="6">
        <v>46023</v>
      </c>
    </row>
    <row r="3" spans="1:25" x14ac:dyDescent="0.3">
      <c r="A3">
        <v>2</v>
      </c>
      <c r="B3" s="2" t="s">
        <v>151</v>
      </c>
      <c r="C3" s="2" t="s">
        <v>10</v>
      </c>
      <c r="D3" s="15">
        <v>25</v>
      </c>
      <c r="E3" s="15">
        <v>4</v>
      </c>
      <c r="F3" s="15">
        <v>5</v>
      </c>
      <c r="G3" s="15">
        <v>5</v>
      </c>
      <c r="H3" s="15">
        <v>4</v>
      </c>
      <c r="I3" s="15">
        <v>3</v>
      </c>
      <c r="J3" s="3">
        <f t="shared" ref="J3:J11" si="0">SUM(E3:I3)/D3</f>
        <v>0.84</v>
      </c>
      <c r="K3" s="3">
        <f t="shared" ref="K3:K11" si="1">1-J3</f>
        <v>0.16000000000000003</v>
      </c>
      <c r="L3" s="6">
        <v>46023</v>
      </c>
    </row>
    <row r="4" spans="1:25" x14ac:dyDescent="0.3">
      <c r="A4">
        <v>3</v>
      </c>
      <c r="B4" s="2" t="s">
        <v>152</v>
      </c>
      <c r="C4" s="2" t="s">
        <v>10</v>
      </c>
      <c r="D4" s="15">
        <v>25</v>
      </c>
      <c r="E4" s="15">
        <v>3</v>
      </c>
      <c r="F4" s="15">
        <v>4</v>
      </c>
      <c r="G4" s="15">
        <v>4</v>
      </c>
      <c r="H4" s="15">
        <v>4</v>
      </c>
      <c r="I4" s="15">
        <v>4</v>
      </c>
      <c r="J4" s="3">
        <f t="shared" si="0"/>
        <v>0.76</v>
      </c>
      <c r="K4" s="3">
        <f t="shared" si="1"/>
        <v>0.24</v>
      </c>
      <c r="L4" s="6">
        <v>46023</v>
      </c>
    </row>
    <row r="5" spans="1:25" x14ac:dyDescent="0.3">
      <c r="A5">
        <v>4</v>
      </c>
      <c r="B5" s="2" t="s">
        <v>153</v>
      </c>
      <c r="C5" s="2" t="s">
        <v>10</v>
      </c>
      <c r="D5" s="15">
        <v>25</v>
      </c>
      <c r="E5" s="15">
        <v>5</v>
      </c>
      <c r="F5" s="15">
        <v>5</v>
      </c>
      <c r="G5" s="15">
        <v>5</v>
      </c>
      <c r="H5" s="15">
        <v>5</v>
      </c>
      <c r="I5" s="15">
        <v>4</v>
      </c>
      <c r="J5" s="3">
        <f t="shared" si="0"/>
        <v>0.96</v>
      </c>
      <c r="K5" s="3">
        <f t="shared" si="1"/>
        <v>4.0000000000000036E-2</v>
      </c>
      <c r="L5" s="6">
        <v>46023</v>
      </c>
    </row>
    <row r="6" spans="1:25" x14ac:dyDescent="0.3">
      <c r="A6">
        <v>5</v>
      </c>
      <c r="B6" s="2" t="s">
        <v>154</v>
      </c>
      <c r="C6" s="2" t="s">
        <v>10</v>
      </c>
      <c r="D6" s="15">
        <v>25</v>
      </c>
      <c r="E6" s="15">
        <v>4</v>
      </c>
      <c r="F6" s="15">
        <v>3</v>
      </c>
      <c r="G6" s="15">
        <v>4</v>
      </c>
      <c r="H6" s="15">
        <v>4</v>
      </c>
      <c r="I6" s="15">
        <v>3</v>
      </c>
      <c r="J6" s="3">
        <f t="shared" si="0"/>
        <v>0.72</v>
      </c>
      <c r="K6" s="3">
        <f t="shared" si="1"/>
        <v>0.28000000000000003</v>
      </c>
      <c r="L6" s="6">
        <v>46023</v>
      </c>
    </row>
    <row r="7" spans="1:25" x14ac:dyDescent="0.3">
      <c r="A7">
        <v>6</v>
      </c>
      <c r="B7" s="2" t="s">
        <v>155</v>
      </c>
      <c r="C7" s="2" t="s">
        <v>10</v>
      </c>
      <c r="D7" s="15">
        <v>25</v>
      </c>
      <c r="E7" s="15">
        <v>5</v>
      </c>
      <c r="F7" s="15">
        <v>4</v>
      </c>
      <c r="G7" s="15">
        <v>5</v>
      </c>
      <c r="H7" s="15">
        <v>5</v>
      </c>
      <c r="I7" s="15">
        <v>5</v>
      </c>
      <c r="J7" s="3">
        <f t="shared" si="0"/>
        <v>0.96</v>
      </c>
      <c r="K7" s="3">
        <f t="shared" si="1"/>
        <v>4.0000000000000036E-2</v>
      </c>
      <c r="L7" s="6">
        <v>46023</v>
      </c>
    </row>
    <row r="8" spans="1:25" x14ac:dyDescent="0.3">
      <c r="A8">
        <v>7</v>
      </c>
      <c r="B8" s="2" t="s">
        <v>156</v>
      </c>
      <c r="C8" s="2" t="s">
        <v>11</v>
      </c>
      <c r="D8" s="15">
        <v>20</v>
      </c>
      <c r="E8" s="15">
        <v>4</v>
      </c>
      <c r="F8" s="15">
        <v>4</v>
      </c>
      <c r="G8" s="15">
        <v>3</v>
      </c>
      <c r="H8" s="15">
        <v>3</v>
      </c>
      <c r="I8" s="15">
        <v>3</v>
      </c>
      <c r="J8" s="3">
        <f t="shared" si="0"/>
        <v>0.85</v>
      </c>
      <c r="K8" s="3">
        <f t="shared" si="1"/>
        <v>0.15000000000000002</v>
      </c>
      <c r="L8" s="6">
        <v>46023</v>
      </c>
      <c r="M8" s="11"/>
      <c r="N8" s="1"/>
      <c r="O8" s="1"/>
      <c r="P8" s="1"/>
      <c r="Q8" s="1"/>
      <c r="R8" s="1"/>
      <c r="S8" s="1"/>
      <c r="V8" s="1"/>
      <c r="W8" s="1"/>
      <c r="X8" s="1"/>
      <c r="Y8" s="1"/>
    </row>
    <row r="9" spans="1:25" x14ac:dyDescent="0.3">
      <c r="A9">
        <v>8</v>
      </c>
      <c r="B9" s="2" t="s">
        <v>157</v>
      </c>
      <c r="C9" s="2" t="s">
        <v>12</v>
      </c>
      <c r="D9" s="15">
        <v>15</v>
      </c>
      <c r="E9" s="15">
        <v>3</v>
      </c>
      <c r="F9" s="15">
        <v>3</v>
      </c>
      <c r="G9" s="15">
        <v>2</v>
      </c>
      <c r="H9" s="15">
        <v>3</v>
      </c>
      <c r="I9" s="15">
        <v>2</v>
      </c>
      <c r="J9" s="3">
        <f t="shared" si="0"/>
        <v>0.8666666666666667</v>
      </c>
      <c r="K9" s="3">
        <f t="shared" si="1"/>
        <v>0.1333333333333333</v>
      </c>
      <c r="L9" s="6">
        <v>46023</v>
      </c>
      <c r="N9" s="2"/>
      <c r="O9" s="2"/>
      <c r="P9" s="2"/>
      <c r="Q9" s="2"/>
      <c r="R9" s="2"/>
      <c r="S9" s="2"/>
      <c r="V9" s="2"/>
      <c r="W9" s="2"/>
      <c r="X9" s="2"/>
      <c r="Y9" s="2"/>
    </row>
    <row r="10" spans="1:25" x14ac:dyDescent="0.3">
      <c r="A10">
        <v>9</v>
      </c>
      <c r="B10" s="2" t="s">
        <v>158</v>
      </c>
      <c r="C10" s="2" t="s">
        <v>13</v>
      </c>
      <c r="D10" s="15">
        <v>120</v>
      </c>
      <c r="E10" s="15">
        <v>22</v>
      </c>
      <c r="F10" s="15">
        <v>25</v>
      </c>
      <c r="G10" s="15">
        <v>24</v>
      </c>
      <c r="H10" s="15">
        <v>23</v>
      </c>
      <c r="I10" s="15">
        <v>21</v>
      </c>
      <c r="J10" s="3">
        <f t="shared" si="0"/>
        <v>0.95833333333333337</v>
      </c>
      <c r="K10" s="3">
        <f t="shared" si="1"/>
        <v>4.166666666666663E-2</v>
      </c>
      <c r="L10" s="6">
        <v>46023</v>
      </c>
      <c r="N10" s="2"/>
      <c r="O10" s="2"/>
      <c r="P10" s="2"/>
      <c r="Q10" s="2"/>
      <c r="R10" s="2"/>
      <c r="S10" s="2"/>
      <c r="V10" s="2"/>
      <c r="W10" s="2"/>
      <c r="X10" s="2"/>
      <c r="Y10" s="2"/>
    </row>
    <row r="11" spans="1:25" x14ac:dyDescent="0.3">
      <c r="A11">
        <v>10</v>
      </c>
      <c r="B11" s="2" t="s">
        <v>159</v>
      </c>
      <c r="C11" s="2" t="s">
        <v>13</v>
      </c>
      <c r="D11" s="15">
        <v>80</v>
      </c>
      <c r="E11" s="15">
        <v>15</v>
      </c>
      <c r="F11" s="15">
        <v>16</v>
      </c>
      <c r="G11" s="15">
        <v>14</v>
      </c>
      <c r="H11" s="15">
        <v>17</v>
      </c>
      <c r="I11" s="15">
        <v>15</v>
      </c>
      <c r="J11" s="3">
        <f t="shared" si="0"/>
        <v>0.96250000000000002</v>
      </c>
      <c r="K11" s="3">
        <f t="shared" si="1"/>
        <v>3.7499999999999978E-2</v>
      </c>
      <c r="L11" s="6">
        <v>46023</v>
      </c>
      <c r="N11" s="2"/>
      <c r="O11" s="2"/>
      <c r="P11" s="2"/>
      <c r="Q11" s="2"/>
      <c r="R11" s="2"/>
      <c r="S11" s="2"/>
      <c r="V11" s="2"/>
      <c r="W11" s="2"/>
      <c r="X11" s="2"/>
      <c r="Y11" s="2"/>
    </row>
    <row r="12" spans="1:25" x14ac:dyDescent="0.3">
      <c r="L12" s="6"/>
      <c r="N12" s="2"/>
      <c r="O12" s="2"/>
      <c r="P12" s="2"/>
      <c r="Q12" s="2"/>
      <c r="R12" s="2"/>
      <c r="S12" s="2"/>
      <c r="V12" s="2"/>
      <c r="W12" s="2"/>
      <c r="X12" s="2"/>
      <c r="Y12" s="2"/>
    </row>
    <row r="13" spans="1:25" x14ac:dyDescent="0.3">
      <c r="L13" s="6"/>
      <c r="N13" s="2"/>
      <c r="O13" s="2"/>
      <c r="P13" s="2"/>
      <c r="Q13" s="2"/>
      <c r="R13" s="2"/>
      <c r="S13" s="2"/>
      <c r="V13" s="2"/>
      <c r="W13" s="2"/>
      <c r="X13" s="2"/>
      <c r="Y13" s="2"/>
    </row>
    <row r="14" spans="1:25" x14ac:dyDescent="0.3">
      <c r="L14" s="6"/>
      <c r="V14" s="2"/>
      <c r="W14" s="2"/>
      <c r="X14" s="2"/>
      <c r="Y14" s="2"/>
    </row>
    <row r="15" spans="1:25" x14ac:dyDescent="0.3">
      <c r="L15" s="6"/>
      <c r="V15" s="2"/>
      <c r="W15" s="2"/>
      <c r="X15" s="2"/>
      <c r="Y15" s="2"/>
    </row>
    <row r="16" spans="1:25" x14ac:dyDescent="0.3">
      <c r="L16" s="6"/>
      <c r="V16" s="2"/>
      <c r="W16" s="2"/>
      <c r="X16" s="2"/>
      <c r="Y16" s="2"/>
    </row>
    <row r="17" spans="12:25" x14ac:dyDescent="0.3">
      <c r="L17" s="6"/>
      <c r="V17" s="2"/>
      <c r="W17" s="2"/>
      <c r="X17" s="2"/>
      <c r="Y17" s="2"/>
    </row>
    <row r="18" spans="12:25" x14ac:dyDescent="0.3">
      <c r="V18" s="2"/>
      <c r="W18" s="2"/>
      <c r="X18" s="2"/>
      <c r="Y18" s="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2F86-3A07-4754-86ED-755F02CE5547}">
  <dimension ref="A1:AB20"/>
  <sheetViews>
    <sheetView workbookViewId="0">
      <selection activeCell="J3" sqref="J3:J4"/>
    </sheetView>
  </sheetViews>
  <sheetFormatPr defaultRowHeight="14.4" x14ac:dyDescent="0.3"/>
  <cols>
    <col min="1" max="1" width="11.88671875" bestFit="1" customWidth="1"/>
    <col min="2" max="2" width="10.21875" style="20" bestFit="1" customWidth="1"/>
    <col min="3" max="3" width="16.21875" customWidth="1"/>
    <col min="4" max="4" width="26.5546875" customWidth="1"/>
    <col min="5" max="5" width="17.21875" customWidth="1"/>
    <col min="6" max="8" width="20.109375" customWidth="1"/>
    <col min="9" max="9" width="22.88671875" customWidth="1"/>
    <col min="10" max="10" width="26.109375" customWidth="1"/>
    <col min="11" max="31" width="10.109375" customWidth="1"/>
  </cols>
  <sheetData>
    <row r="1" spans="1:28" ht="28.8" x14ac:dyDescent="0.3">
      <c r="A1" s="10" t="s">
        <v>108</v>
      </c>
      <c r="B1" s="1" t="s">
        <v>128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116</v>
      </c>
      <c r="H1" s="1" t="s">
        <v>117</v>
      </c>
      <c r="I1" s="1" t="s">
        <v>115</v>
      </c>
      <c r="J1" s="16" t="s">
        <v>106</v>
      </c>
    </row>
    <row r="2" spans="1:28" x14ac:dyDescent="0.3">
      <c r="A2">
        <v>9</v>
      </c>
      <c r="B2" s="2" t="s">
        <v>74</v>
      </c>
      <c r="C2" s="2">
        <v>5</v>
      </c>
      <c r="D2" s="2">
        <v>5</v>
      </c>
      <c r="E2" s="2">
        <v>3</v>
      </c>
      <c r="F2" s="2">
        <v>2</v>
      </c>
      <c r="G2" s="2">
        <f>SUM($C$2:$D$2)</f>
        <v>10</v>
      </c>
      <c r="H2" s="2">
        <f>SUM($E$2:$F$2)</f>
        <v>5</v>
      </c>
      <c r="I2" s="2">
        <f>SUM($G$2:$H$2)</f>
        <v>15</v>
      </c>
      <c r="J2" s="6">
        <v>46023</v>
      </c>
    </row>
    <row r="3" spans="1:28" x14ac:dyDescent="0.3">
      <c r="A3">
        <v>10</v>
      </c>
      <c r="B3" s="2" t="s">
        <v>75</v>
      </c>
      <c r="C3" s="2">
        <v>6</v>
      </c>
      <c r="D3" s="2">
        <v>13</v>
      </c>
      <c r="E3" s="2">
        <v>91</v>
      </c>
      <c r="F3" s="2">
        <v>21</v>
      </c>
      <c r="G3" s="2">
        <f t="shared" ref="G3:G8" si="0">SUM($C$2:$D$2)</f>
        <v>10</v>
      </c>
      <c r="H3" s="2">
        <f t="shared" ref="H3:H8" si="1">SUM($E$2:$F$2)</f>
        <v>5</v>
      </c>
      <c r="I3" s="2">
        <f t="shared" ref="I3:I8" si="2">SUM($G$2:$H$2)</f>
        <v>15</v>
      </c>
      <c r="J3" s="6">
        <v>46023</v>
      </c>
    </row>
    <row r="4" spans="1:28" x14ac:dyDescent="0.3">
      <c r="A4">
        <v>11</v>
      </c>
      <c r="B4" s="20" t="s">
        <v>76</v>
      </c>
      <c r="C4" s="2">
        <v>45</v>
      </c>
      <c r="D4" s="2">
        <v>25</v>
      </c>
      <c r="E4" s="2">
        <v>37</v>
      </c>
      <c r="F4" s="2">
        <v>45</v>
      </c>
      <c r="G4" s="2">
        <f t="shared" si="0"/>
        <v>10</v>
      </c>
      <c r="H4" s="2">
        <f t="shared" si="1"/>
        <v>5</v>
      </c>
      <c r="I4" s="2">
        <f t="shared" si="2"/>
        <v>15</v>
      </c>
      <c r="J4" s="6">
        <v>46023</v>
      </c>
    </row>
    <row r="5" spans="1:28" x14ac:dyDescent="0.3">
      <c r="A5">
        <v>12</v>
      </c>
      <c r="B5" s="20" t="s">
        <v>77</v>
      </c>
      <c r="C5" s="2">
        <v>2</v>
      </c>
      <c r="D5" s="2">
        <v>61</v>
      </c>
      <c r="E5" s="2">
        <v>51</v>
      </c>
      <c r="F5" s="2">
        <v>62</v>
      </c>
      <c r="G5" s="2">
        <f t="shared" si="0"/>
        <v>10</v>
      </c>
      <c r="H5" s="2">
        <f t="shared" si="1"/>
        <v>5</v>
      </c>
      <c r="I5" s="2">
        <f t="shared" si="2"/>
        <v>15</v>
      </c>
      <c r="J5" s="6">
        <v>46023</v>
      </c>
    </row>
    <row r="6" spans="1:28" x14ac:dyDescent="0.3">
      <c r="A6">
        <v>13</v>
      </c>
      <c r="B6" s="20" t="s">
        <v>78</v>
      </c>
      <c r="C6" s="2">
        <v>6</v>
      </c>
      <c r="D6" s="2">
        <v>25</v>
      </c>
      <c r="E6" s="2">
        <v>2</v>
      </c>
      <c r="F6" s="2">
        <v>21</v>
      </c>
      <c r="G6" s="2">
        <f t="shared" si="0"/>
        <v>10</v>
      </c>
      <c r="H6" s="2">
        <f t="shared" si="1"/>
        <v>5</v>
      </c>
      <c r="I6" s="2">
        <f t="shared" si="2"/>
        <v>15</v>
      </c>
      <c r="J6" s="6">
        <v>46023</v>
      </c>
    </row>
    <row r="7" spans="1:28" x14ac:dyDescent="0.3">
      <c r="A7">
        <v>14</v>
      </c>
      <c r="B7" s="20" t="s">
        <v>79</v>
      </c>
      <c r="C7" s="2">
        <v>3</v>
      </c>
      <c r="D7" s="2">
        <v>3</v>
      </c>
      <c r="E7" s="2">
        <v>66</v>
      </c>
      <c r="F7" s="2">
        <v>3</v>
      </c>
      <c r="G7" s="2">
        <f t="shared" si="0"/>
        <v>10</v>
      </c>
      <c r="H7" s="2">
        <f t="shared" si="1"/>
        <v>5</v>
      </c>
      <c r="I7" s="2">
        <f t="shared" si="2"/>
        <v>15</v>
      </c>
      <c r="J7" s="6">
        <v>46023</v>
      </c>
    </row>
    <row r="8" spans="1:28" x14ac:dyDescent="0.3">
      <c r="A8">
        <v>15</v>
      </c>
      <c r="B8" s="20" t="s">
        <v>80</v>
      </c>
      <c r="C8" s="2">
        <v>6</v>
      </c>
      <c r="D8" s="2">
        <v>22</v>
      </c>
      <c r="E8" s="2">
        <v>45</v>
      </c>
      <c r="F8" s="2">
        <v>6</v>
      </c>
      <c r="G8" s="2">
        <f t="shared" si="0"/>
        <v>10</v>
      </c>
      <c r="H8" s="2">
        <f t="shared" si="1"/>
        <v>5</v>
      </c>
      <c r="I8" s="2">
        <f t="shared" si="2"/>
        <v>15</v>
      </c>
      <c r="J8" s="6">
        <v>46023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8" x14ac:dyDescent="0.3"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3"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3"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6" spans="1:28" x14ac:dyDescent="0.3">
      <c r="B16" s="1"/>
      <c r="C16" s="1"/>
      <c r="D16" s="1"/>
      <c r="E16" s="1"/>
      <c r="F16" s="1"/>
      <c r="G16" s="1"/>
      <c r="H16" s="1"/>
      <c r="I16" s="1"/>
    </row>
    <row r="17" spans="2:9" x14ac:dyDescent="0.3">
      <c r="B17" s="2"/>
      <c r="C17" s="2"/>
      <c r="D17" s="2"/>
      <c r="E17" s="2"/>
      <c r="F17" s="2"/>
      <c r="G17" s="2"/>
      <c r="H17" s="2"/>
      <c r="I17" s="2"/>
    </row>
    <row r="18" spans="2:9" x14ac:dyDescent="0.3">
      <c r="B18" s="2"/>
      <c r="C18" s="2"/>
      <c r="D18" s="2"/>
      <c r="E18" s="2"/>
      <c r="F18" s="2"/>
      <c r="G18" s="2"/>
      <c r="H18" s="2"/>
      <c r="I18" s="2"/>
    </row>
    <row r="19" spans="2:9" x14ac:dyDescent="0.3">
      <c r="B19" s="2"/>
      <c r="C19" s="2"/>
      <c r="D19" s="2"/>
      <c r="E19" s="2"/>
      <c r="F19" s="2"/>
      <c r="G19" s="2"/>
      <c r="H19" s="2"/>
      <c r="I19" s="2"/>
    </row>
    <row r="20" spans="2:9" x14ac:dyDescent="0.3"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DA59-4B97-4760-BE58-1EC0FDE360C6}">
  <dimension ref="A1:F51"/>
  <sheetViews>
    <sheetView workbookViewId="0">
      <selection activeCell="F7" sqref="F7:F9"/>
    </sheetView>
  </sheetViews>
  <sheetFormatPr defaultRowHeight="14.4" x14ac:dyDescent="0.3"/>
  <cols>
    <col min="1" max="1" width="12.5546875" customWidth="1"/>
    <col min="2" max="3" width="16.33203125" customWidth="1"/>
    <col min="4" max="4" width="14.88671875" customWidth="1"/>
    <col min="5" max="5" width="14.44140625" customWidth="1"/>
    <col min="6" max="6" width="24.88671875" style="19" bestFit="1" customWidth="1"/>
  </cols>
  <sheetData>
    <row r="1" spans="1:6" x14ac:dyDescent="0.3">
      <c r="A1" s="1" t="s">
        <v>112</v>
      </c>
      <c r="B1" s="1" t="s">
        <v>128</v>
      </c>
      <c r="C1" s="1" t="s">
        <v>119</v>
      </c>
      <c r="D1" s="1" t="s">
        <v>118</v>
      </c>
      <c r="E1" s="1" t="s">
        <v>113</v>
      </c>
      <c r="F1" s="17" t="s">
        <v>64</v>
      </c>
    </row>
    <row r="2" spans="1:6" x14ac:dyDescent="0.3">
      <c r="A2" s="2">
        <v>1001</v>
      </c>
      <c r="B2" s="2" t="s">
        <v>74</v>
      </c>
      <c r="C2" s="2" t="s">
        <v>120</v>
      </c>
      <c r="D2" s="2" t="s">
        <v>22</v>
      </c>
      <c r="E2" s="2" t="s">
        <v>30</v>
      </c>
      <c r="F2" s="18">
        <v>46023</v>
      </c>
    </row>
    <row r="3" spans="1:6" x14ac:dyDescent="0.3">
      <c r="A3" s="2">
        <v>1002</v>
      </c>
      <c r="B3" s="2" t="s">
        <v>74</v>
      </c>
      <c r="C3" s="2" t="s">
        <v>120</v>
      </c>
      <c r="D3" s="2" t="s">
        <v>22</v>
      </c>
      <c r="E3" s="2" t="s">
        <v>30</v>
      </c>
      <c r="F3" s="18">
        <v>46023</v>
      </c>
    </row>
    <row r="4" spans="1:6" x14ac:dyDescent="0.3">
      <c r="A4" s="2">
        <v>1003</v>
      </c>
      <c r="B4" s="2" t="s">
        <v>74</v>
      </c>
      <c r="C4" s="2" t="s">
        <v>120</v>
      </c>
      <c r="D4" s="2" t="s">
        <v>22</v>
      </c>
      <c r="E4" s="2" t="s">
        <v>35</v>
      </c>
      <c r="F4" s="18">
        <v>46023</v>
      </c>
    </row>
    <row r="5" spans="1:6" x14ac:dyDescent="0.3">
      <c r="A5" s="2">
        <v>1004</v>
      </c>
      <c r="B5" s="2" t="s">
        <v>74</v>
      </c>
      <c r="C5" s="2" t="s">
        <v>120</v>
      </c>
      <c r="D5" s="2" t="s">
        <v>23</v>
      </c>
      <c r="E5" s="2" t="s">
        <v>30</v>
      </c>
      <c r="F5" s="18">
        <v>46023</v>
      </c>
    </row>
    <row r="6" spans="1:6" x14ac:dyDescent="0.3">
      <c r="A6" s="2">
        <v>1005</v>
      </c>
      <c r="B6" s="2" t="s">
        <v>74</v>
      </c>
      <c r="C6" s="2" t="s">
        <v>120</v>
      </c>
      <c r="D6" s="2" t="s">
        <v>24</v>
      </c>
      <c r="E6" s="2" t="s">
        <v>114</v>
      </c>
      <c r="F6" s="18">
        <v>46023</v>
      </c>
    </row>
    <row r="7" spans="1:6" x14ac:dyDescent="0.3">
      <c r="A7" s="2">
        <v>1006</v>
      </c>
      <c r="B7" s="2" t="s">
        <v>74</v>
      </c>
      <c r="C7" s="2" t="s">
        <v>120</v>
      </c>
      <c r="D7" s="2" t="s">
        <v>22</v>
      </c>
      <c r="E7" s="2" t="s">
        <v>30</v>
      </c>
      <c r="F7" s="18">
        <v>46023</v>
      </c>
    </row>
    <row r="8" spans="1:6" x14ac:dyDescent="0.3">
      <c r="A8" s="2">
        <v>1007</v>
      </c>
      <c r="B8" s="2" t="s">
        <v>74</v>
      </c>
      <c r="C8" s="2" t="s">
        <v>120</v>
      </c>
      <c r="D8" s="2" t="s">
        <v>22</v>
      </c>
      <c r="E8" s="2" t="s">
        <v>114</v>
      </c>
      <c r="F8" s="18">
        <v>46023</v>
      </c>
    </row>
    <row r="9" spans="1:6" x14ac:dyDescent="0.3">
      <c r="A9" s="2">
        <v>1008</v>
      </c>
      <c r="B9" s="2" t="s">
        <v>75</v>
      </c>
      <c r="C9" s="2" t="s">
        <v>120</v>
      </c>
      <c r="D9" s="2" t="s">
        <v>23</v>
      </c>
      <c r="E9" s="2" t="s">
        <v>30</v>
      </c>
      <c r="F9" s="18">
        <v>46023</v>
      </c>
    </row>
    <row r="10" spans="1:6" x14ac:dyDescent="0.3">
      <c r="A10" s="2">
        <v>1009</v>
      </c>
      <c r="B10" s="2" t="s">
        <v>75</v>
      </c>
      <c r="C10" s="2" t="s">
        <v>120</v>
      </c>
      <c r="D10" s="2" t="s">
        <v>24</v>
      </c>
      <c r="E10" s="2" t="s">
        <v>30</v>
      </c>
      <c r="F10" s="18">
        <v>46023</v>
      </c>
    </row>
    <row r="11" spans="1:6" x14ac:dyDescent="0.3">
      <c r="A11" s="2">
        <v>1010</v>
      </c>
      <c r="B11" s="2" t="s">
        <v>75</v>
      </c>
      <c r="C11" s="2" t="s">
        <v>120</v>
      </c>
      <c r="D11" s="2" t="s">
        <v>25</v>
      </c>
      <c r="E11" s="2" t="s">
        <v>35</v>
      </c>
      <c r="F11" s="18">
        <v>46023</v>
      </c>
    </row>
    <row r="12" spans="1:6" x14ac:dyDescent="0.3">
      <c r="A12" s="2">
        <v>1011</v>
      </c>
      <c r="B12" s="2" t="s">
        <v>75</v>
      </c>
      <c r="C12" s="2" t="s">
        <v>120</v>
      </c>
      <c r="D12" s="2" t="s">
        <v>22</v>
      </c>
      <c r="E12" s="2" t="s">
        <v>30</v>
      </c>
      <c r="F12" s="18">
        <v>46023</v>
      </c>
    </row>
    <row r="13" spans="1:6" x14ac:dyDescent="0.3">
      <c r="A13" s="2">
        <v>1012</v>
      </c>
      <c r="B13" s="2" t="s">
        <v>75</v>
      </c>
      <c r="C13" s="2" t="s">
        <v>120</v>
      </c>
      <c r="D13" s="2" t="s">
        <v>22</v>
      </c>
      <c r="E13" s="2" t="s">
        <v>30</v>
      </c>
      <c r="F13" s="18">
        <v>46023</v>
      </c>
    </row>
    <row r="14" spans="1:6" x14ac:dyDescent="0.3">
      <c r="A14" s="2">
        <v>1013</v>
      </c>
      <c r="B14" s="2" t="s">
        <v>75</v>
      </c>
      <c r="C14" s="2" t="s">
        <v>120</v>
      </c>
      <c r="D14" s="2" t="s">
        <v>22</v>
      </c>
      <c r="E14" s="2" t="s">
        <v>30</v>
      </c>
      <c r="F14" s="18">
        <v>46023</v>
      </c>
    </row>
    <row r="15" spans="1:6" x14ac:dyDescent="0.3">
      <c r="A15" s="2">
        <v>1014</v>
      </c>
      <c r="B15" s="2" t="s">
        <v>75</v>
      </c>
      <c r="C15" s="2" t="s">
        <v>120</v>
      </c>
      <c r="D15" s="2" t="s">
        <v>25</v>
      </c>
      <c r="E15" s="2" t="s">
        <v>114</v>
      </c>
      <c r="F15" s="18">
        <v>46023</v>
      </c>
    </row>
    <row r="16" spans="1:6" x14ac:dyDescent="0.3">
      <c r="A16" s="2">
        <v>1015</v>
      </c>
      <c r="B16" s="2" t="s">
        <v>75</v>
      </c>
      <c r="C16" s="2" t="s">
        <v>120</v>
      </c>
      <c r="D16" s="2" t="s">
        <v>23</v>
      </c>
      <c r="E16" s="2" t="s">
        <v>30</v>
      </c>
      <c r="F16" s="18">
        <v>46023</v>
      </c>
    </row>
    <row r="17" spans="1:6" x14ac:dyDescent="0.3">
      <c r="A17" s="2">
        <v>1016</v>
      </c>
      <c r="B17" s="2" t="s">
        <v>75</v>
      </c>
      <c r="C17" s="2" t="s">
        <v>120</v>
      </c>
      <c r="D17" s="2" t="s">
        <v>22</v>
      </c>
      <c r="E17" s="2" t="s">
        <v>35</v>
      </c>
      <c r="F17" s="18">
        <v>46023</v>
      </c>
    </row>
    <row r="18" spans="1:6" x14ac:dyDescent="0.3">
      <c r="A18" s="2">
        <v>1017</v>
      </c>
      <c r="B18" s="2" t="s">
        <v>75</v>
      </c>
      <c r="C18" s="2" t="s">
        <v>120</v>
      </c>
      <c r="D18" s="2" t="s">
        <v>22</v>
      </c>
      <c r="E18" s="2" t="s">
        <v>114</v>
      </c>
      <c r="F18" s="18">
        <v>46023</v>
      </c>
    </row>
    <row r="19" spans="1:6" x14ac:dyDescent="0.3">
      <c r="A19" s="2">
        <v>1018</v>
      </c>
      <c r="B19" s="2" t="s">
        <v>76</v>
      </c>
      <c r="C19" s="2" t="s">
        <v>120</v>
      </c>
      <c r="D19" s="2" t="s">
        <v>24</v>
      </c>
      <c r="E19" s="2" t="s">
        <v>30</v>
      </c>
      <c r="F19" s="18">
        <v>46023</v>
      </c>
    </row>
    <row r="20" spans="1:6" x14ac:dyDescent="0.3">
      <c r="A20" s="2">
        <v>1019</v>
      </c>
      <c r="B20" s="2" t="s">
        <v>76</v>
      </c>
      <c r="C20" s="2" t="s">
        <v>120</v>
      </c>
      <c r="D20" s="2" t="s">
        <v>25</v>
      </c>
      <c r="E20" s="2" t="s">
        <v>30</v>
      </c>
      <c r="F20" s="18">
        <v>46023</v>
      </c>
    </row>
    <row r="21" spans="1:6" x14ac:dyDescent="0.3">
      <c r="A21" s="2">
        <v>1020</v>
      </c>
      <c r="B21" s="2" t="s">
        <v>76</v>
      </c>
      <c r="C21" s="2" t="s">
        <v>120</v>
      </c>
      <c r="D21" s="2" t="s">
        <v>23</v>
      </c>
      <c r="E21" s="2" t="s">
        <v>30</v>
      </c>
      <c r="F21" s="18">
        <v>46023</v>
      </c>
    </row>
    <row r="22" spans="1:6" x14ac:dyDescent="0.3">
      <c r="A22" s="2">
        <v>1021</v>
      </c>
      <c r="B22" s="2" t="s">
        <v>76</v>
      </c>
      <c r="C22" s="2" t="s">
        <v>120</v>
      </c>
      <c r="D22" s="2" t="s">
        <v>22</v>
      </c>
      <c r="E22" s="2" t="s">
        <v>30</v>
      </c>
      <c r="F22" s="18">
        <v>46023</v>
      </c>
    </row>
    <row r="23" spans="1:6" x14ac:dyDescent="0.3">
      <c r="A23" s="2">
        <v>1022</v>
      </c>
      <c r="B23" s="2" t="s">
        <v>76</v>
      </c>
      <c r="C23" s="2" t="s">
        <v>120</v>
      </c>
      <c r="D23" s="2" t="s">
        <v>22</v>
      </c>
      <c r="E23" s="2" t="s">
        <v>30</v>
      </c>
      <c r="F23" s="18">
        <v>46023</v>
      </c>
    </row>
    <row r="24" spans="1:6" x14ac:dyDescent="0.3">
      <c r="A24" s="2">
        <v>1023</v>
      </c>
      <c r="B24" s="2" t="s">
        <v>76</v>
      </c>
      <c r="C24" s="2" t="s">
        <v>120</v>
      </c>
      <c r="D24" s="2" t="s">
        <v>24</v>
      </c>
      <c r="E24" s="2" t="s">
        <v>30</v>
      </c>
      <c r="F24" s="18">
        <v>46023</v>
      </c>
    </row>
    <row r="25" spans="1:6" x14ac:dyDescent="0.3">
      <c r="A25" s="2">
        <v>1024</v>
      </c>
      <c r="B25" s="2" t="s">
        <v>76</v>
      </c>
      <c r="C25" s="2" t="s">
        <v>120</v>
      </c>
      <c r="D25" s="2" t="s">
        <v>25</v>
      </c>
      <c r="E25" s="2" t="s">
        <v>30</v>
      </c>
      <c r="F25" s="18">
        <v>46023</v>
      </c>
    </row>
    <row r="26" spans="1:6" x14ac:dyDescent="0.3">
      <c r="A26" s="2">
        <v>1025</v>
      </c>
      <c r="B26" s="2" t="s">
        <v>77</v>
      </c>
      <c r="C26" s="2" t="s">
        <v>120</v>
      </c>
      <c r="D26" s="2" t="s">
        <v>23</v>
      </c>
      <c r="E26" s="2" t="s">
        <v>30</v>
      </c>
      <c r="F26" s="18">
        <v>46023</v>
      </c>
    </row>
    <row r="27" spans="1:6" x14ac:dyDescent="0.3">
      <c r="A27" s="2">
        <v>1026</v>
      </c>
      <c r="B27" s="2" t="s">
        <v>77</v>
      </c>
      <c r="C27" s="2" t="s">
        <v>120</v>
      </c>
      <c r="D27" s="2" t="s">
        <v>22</v>
      </c>
      <c r="E27" s="2" t="s">
        <v>30</v>
      </c>
      <c r="F27" s="18">
        <v>46023</v>
      </c>
    </row>
    <row r="28" spans="1:6" x14ac:dyDescent="0.3">
      <c r="A28" s="2">
        <v>1027</v>
      </c>
      <c r="B28" s="2" t="s">
        <v>77</v>
      </c>
      <c r="C28" s="2" t="s">
        <v>120</v>
      </c>
      <c r="D28" s="2" t="s">
        <v>22</v>
      </c>
      <c r="E28" s="2" t="s">
        <v>35</v>
      </c>
      <c r="F28" s="18">
        <v>46023</v>
      </c>
    </row>
    <row r="29" spans="1:6" x14ac:dyDescent="0.3">
      <c r="A29" s="2">
        <v>1028</v>
      </c>
      <c r="B29" s="2" t="s">
        <v>77</v>
      </c>
      <c r="C29" s="2" t="s">
        <v>120</v>
      </c>
      <c r="D29" s="2" t="s">
        <v>22</v>
      </c>
      <c r="E29" s="2" t="s">
        <v>114</v>
      </c>
      <c r="F29" s="18">
        <v>46023</v>
      </c>
    </row>
    <row r="30" spans="1:6" x14ac:dyDescent="0.3">
      <c r="A30" s="2">
        <v>1029</v>
      </c>
      <c r="B30" s="2" t="s">
        <v>77</v>
      </c>
      <c r="C30" s="2" t="s">
        <v>120</v>
      </c>
      <c r="D30" s="2" t="s">
        <v>24</v>
      </c>
      <c r="E30" s="2" t="s">
        <v>30</v>
      </c>
      <c r="F30" s="18">
        <v>46023</v>
      </c>
    </row>
    <row r="31" spans="1:6" x14ac:dyDescent="0.3">
      <c r="A31" s="2">
        <v>1030</v>
      </c>
      <c r="B31" s="2" t="s">
        <v>77</v>
      </c>
      <c r="C31" s="2" t="s">
        <v>120</v>
      </c>
      <c r="D31" s="2" t="s">
        <v>25</v>
      </c>
      <c r="E31" s="2" t="s">
        <v>30</v>
      </c>
      <c r="F31" s="18">
        <v>46023</v>
      </c>
    </row>
    <row r="32" spans="1:6" x14ac:dyDescent="0.3">
      <c r="A32" s="2">
        <v>1031</v>
      </c>
      <c r="B32" s="2" t="s">
        <v>77</v>
      </c>
      <c r="C32" s="2" t="s">
        <v>120</v>
      </c>
      <c r="D32" s="2" t="s">
        <v>22</v>
      </c>
      <c r="E32" s="2" t="s">
        <v>30</v>
      </c>
      <c r="F32" s="18">
        <v>46023</v>
      </c>
    </row>
    <row r="33" spans="1:6" x14ac:dyDescent="0.3">
      <c r="A33" s="2">
        <v>1032</v>
      </c>
      <c r="B33" s="2" t="s">
        <v>77</v>
      </c>
      <c r="C33" s="2" t="s">
        <v>120</v>
      </c>
      <c r="D33" s="2" t="s">
        <v>22</v>
      </c>
      <c r="E33" s="2" t="s">
        <v>30</v>
      </c>
      <c r="F33" s="18">
        <v>46023</v>
      </c>
    </row>
    <row r="34" spans="1:6" x14ac:dyDescent="0.3">
      <c r="A34" s="2">
        <v>1033</v>
      </c>
      <c r="B34" s="2" t="s">
        <v>78</v>
      </c>
      <c r="C34" s="2" t="s">
        <v>120</v>
      </c>
      <c r="D34" s="2" t="s">
        <v>22</v>
      </c>
      <c r="E34" s="2" t="s">
        <v>30</v>
      </c>
      <c r="F34" s="18">
        <v>46023</v>
      </c>
    </row>
    <row r="35" spans="1:6" x14ac:dyDescent="0.3">
      <c r="A35" s="2">
        <v>1034</v>
      </c>
      <c r="B35" s="2" t="s">
        <v>78</v>
      </c>
      <c r="C35" s="2" t="s">
        <v>120</v>
      </c>
      <c r="D35" s="2" t="s">
        <v>23</v>
      </c>
      <c r="E35" s="2" t="s">
        <v>30</v>
      </c>
      <c r="F35" s="18">
        <v>46023</v>
      </c>
    </row>
    <row r="36" spans="1:6" x14ac:dyDescent="0.3">
      <c r="A36" s="2">
        <v>1035</v>
      </c>
      <c r="B36" s="2" t="s">
        <v>78</v>
      </c>
      <c r="C36" s="2" t="s">
        <v>120</v>
      </c>
      <c r="D36" s="2" t="s">
        <v>24</v>
      </c>
      <c r="E36" s="2" t="s">
        <v>30</v>
      </c>
      <c r="F36" s="18">
        <v>46023</v>
      </c>
    </row>
    <row r="37" spans="1:6" x14ac:dyDescent="0.3">
      <c r="A37" s="2">
        <v>1036</v>
      </c>
      <c r="B37" s="2" t="s">
        <v>78</v>
      </c>
      <c r="C37" s="2" t="s">
        <v>120</v>
      </c>
      <c r="D37" s="2" t="s">
        <v>22</v>
      </c>
      <c r="E37" s="2" t="s">
        <v>114</v>
      </c>
      <c r="F37" s="18">
        <v>46023</v>
      </c>
    </row>
    <row r="38" spans="1:6" x14ac:dyDescent="0.3">
      <c r="A38" s="2">
        <v>1037</v>
      </c>
      <c r="B38" s="2" t="s">
        <v>78</v>
      </c>
      <c r="C38" s="2" t="s">
        <v>120</v>
      </c>
      <c r="D38" s="2" t="s">
        <v>22</v>
      </c>
      <c r="E38" s="2" t="s">
        <v>114</v>
      </c>
      <c r="F38" s="18">
        <v>46023</v>
      </c>
    </row>
    <row r="39" spans="1:6" x14ac:dyDescent="0.3">
      <c r="A39" s="2">
        <v>1038</v>
      </c>
      <c r="B39" s="2" t="s">
        <v>78</v>
      </c>
      <c r="C39" s="2" t="s">
        <v>120</v>
      </c>
      <c r="D39" s="2" t="s">
        <v>22</v>
      </c>
      <c r="E39" s="2" t="s">
        <v>30</v>
      </c>
      <c r="F39" s="18">
        <v>46023</v>
      </c>
    </row>
    <row r="40" spans="1:6" x14ac:dyDescent="0.3">
      <c r="A40" s="2">
        <v>1039</v>
      </c>
      <c r="B40" s="2" t="s">
        <v>78</v>
      </c>
      <c r="C40" s="2" t="s">
        <v>120</v>
      </c>
      <c r="D40" s="2" t="s">
        <v>25</v>
      </c>
      <c r="E40" s="2" t="s">
        <v>35</v>
      </c>
      <c r="F40" s="18">
        <v>46023</v>
      </c>
    </row>
    <row r="41" spans="1:6" x14ac:dyDescent="0.3">
      <c r="A41" s="2">
        <v>1040</v>
      </c>
      <c r="B41" s="2" t="s">
        <v>78</v>
      </c>
      <c r="C41" s="2" t="s">
        <v>120</v>
      </c>
      <c r="D41" s="2" t="s">
        <v>23</v>
      </c>
      <c r="E41" s="2" t="s">
        <v>30</v>
      </c>
      <c r="F41" s="18">
        <v>46023</v>
      </c>
    </row>
    <row r="42" spans="1:6" x14ac:dyDescent="0.3">
      <c r="A42" s="2">
        <v>1041</v>
      </c>
      <c r="B42" s="2" t="s">
        <v>78</v>
      </c>
      <c r="C42" s="2" t="s">
        <v>120</v>
      </c>
      <c r="D42" s="2" t="s">
        <v>22</v>
      </c>
      <c r="E42" s="2" t="s">
        <v>30</v>
      </c>
      <c r="F42" s="18">
        <v>46023</v>
      </c>
    </row>
    <row r="43" spans="1:6" x14ac:dyDescent="0.3">
      <c r="A43" s="2">
        <v>1042</v>
      </c>
      <c r="B43" s="2" t="s">
        <v>79</v>
      </c>
      <c r="C43" s="2" t="s">
        <v>120</v>
      </c>
      <c r="D43" s="2" t="s">
        <v>22</v>
      </c>
      <c r="E43" s="2" t="s">
        <v>30</v>
      </c>
      <c r="F43" s="18">
        <v>46023</v>
      </c>
    </row>
    <row r="44" spans="1:6" x14ac:dyDescent="0.3">
      <c r="A44" s="2">
        <v>1043</v>
      </c>
      <c r="B44" s="2" t="s">
        <v>79</v>
      </c>
      <c r="C44" s="2" t="s">
        <v>120</v>
      </c>
      <c r="D44" s="2" t="s">
        <v>22</v>
      </c>
      <c r="E44" s="2" t="s">
        <v>30</v>
      </c>
      <c r="F44" s="18">
        <v>46023</v>
      </c>
    </row>
    <row r="45" spans="1:6" x14ac:dyDescent="0.3">
      <c r="A45" s="2">
        <v>1044</v>
      </c>
      <c r="B45" s="2" t="s">
        <v>79</v>
      </c>
      <c r="C45" s="2" t="s">
        <v>120</v>
      </c>
      <c r="D45" s="2" t="s">
        <v>22</v>
      </c>
      <c r="E45" s="2" t="s">
        <v>35</v>
      </c>
      <c r="F45" s="18">
        <v>46023</v>
      </c>
    </row>
    <row r="46" spans="1:6" x14ac:dyDescent="0.3">
      <c r="A46" s="2">
        <v>1045</v>
      </c>
      <c r="B46" s="2" t="s">
        <v>79</v>
      </c>
      <c r="C46" s="2" t="s">
        <v>120</v>
      </c>
      <c r="D46" s="2" t="s">
        <v>22</v>
      </c>
      <c r="E46" s="2" t="s">
        <v>114</v>
      </c>
      <c r="F46" s="18">
        <v>46023</v>
      </c>
    </row>
    <row r="47" spans="1:6" x14ac:dyDescent="0.3">
      <c r="A47" s="2">
        <v>1046</v>
      </c>
      <c r="B47" s="2" t="s">
        <v>80</v>
      </c>
      <c r="C47" s="2" t="s">
        <v>120</v>
      </c>
      <c r="D47" s="2" t="s">
        <v>22</v>
      </c>
      <c r="E47" s="2" t="s">
        <v>30</v>
      </c>
      <c r="F47" s="18">
        <v>46023</v>
      </c>
    </row>
    <row r="48" spans="1:6" x14ac:dyDescent="0.3">
      <c r="A48" s="2">
        <v>1047</v>
      </c>
      <c r="B48" s="2" t="s">
        <v>80</v>
      </c>
      <c r="C48" s="2" t="s">
        <v>120</v>
      </c>
      <c r="D48" s="2" t="s">
        <v>24</v>
      </c>
      <c r="E48" s="2" t="s">
        <v>30</v>
      </c>
      <c r="F48" s="18">
        <v>46023</v>
      </c>
    </row>
    <row r="49" spans="1:6" x14ac:dyDescent="0.3">
      <c r="A49" s="2">
        <v>1048</v>
      </c>
      <c r="B49" s="2" t="s">
        <v>80</v>
      </c>
      <c r="C49" s="2" t="s">
        <v>120</v>
      </c>
      <c r="D49" s="2" t="s">
        <v>25</v>
      </c>
      <c r="E49" s="2" t="s">
        <v>114</v>
      </c>
      <c r="F49" s="18">
        <v>46023</v>
      </c>
    </row>
    <row r="50" spans="1:6" x14ac:dyDescent="0.3">
      <c r="A50" s="2">
        <v>1049</v>
      </c>
      <c r="B50" s="2" t="s">
        <v>80</v>
      </c>
      <c r="C50" s="2" t="s">
        <v>120</v>
      </c>
      <c r="D50" s="2" t="s">
        <v>23</v>
      </c>
      <c r="E50" s="2" t="s">
        <v>35</v>
      </c>
      <c r="F50" s="18">
        <v>46023</v>
      </c>
    </row>
    <row r="51" spans="1:6" x14ac:dyDescent="0.3">
      <c r="A51" s="2">
        <v>1050</v>
      </c>
      <c r="B51" s="2" t="s">
        <v>80</v>
      </c>
      <c r="C51" s="2" t="s">
        <v>120</v>
      </c>
      <c r="D51" s="2" t="s">
        <v>22</v>
      </c>
      <c r="E51" s="2" t="s">
        <v>30</v>
      </c>
      <c r="F51" s="18">
        <v>46023</v>
      </c>
    </row>
  </sheetData>
  <autoFilter ref="B1:B51" xr:uid="{76E8DA59-4B97-4760-BE58-1EC0FDE360C6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4802-AC31-4660-B5A6-BF6F209CAF41}">
  <dimension ref="A1:J8"/>
  <sheetViews>
    <sheetView workbookViewId="0">
      <selection activeCell="J2" sqref="J2:J8"/>
    </sheetView>
  </sheetViews>
  <sheetFormatPr defaultRowHeight="14.4" x14ac:dyDescent="0.3"/>
  <cols>
    <col min="2" max="9" width="17.33203125" customWidth="1"/>
    <col min="10" max="10" width="17.33203125" style="5" customWidth="1"/>
  </cols>
  <sheetData>
    <row r="1" spans="1:10" x14ac:dyDescent="0.3">
      <c r="A1" t="s">
        <v>108</v>
      </c>
      <c r="B1" s="1" t="s">
        <v>128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6" t="s">
        <v>106</v>
      </c>
    </row>
    <row r="2" spans="1:10" x14ac:dyDescent="0.3">
      <c r="A2">
        <v>9</v>
      </c>
      <c r="B2" s="2" t="s">
        <v>74</v>
      </c>
      <c r="C2" s="2">
        <v>3</v>
      </c>
      <c r="D2" s="2">
        <v>1</v>
      </c>
      <c r="E2" s="2">
        <v>1</v>
      </c>
      <c r="F2" s="2">
        <v>4</v>
      </c>
      <c r="G2" s="2">
        <v>0</v>
      </c>
      <c r="H2" s="2">
        <v>1</v>
      </c>
      <c r="I2" s="2">
        <f>SUM(C2:H2)</f>
        <v>10</v>
      </c>
      <c r="J2" s="18">
        <v>46023</v>
      </c>
    </row>
    <row r="3" spans="1:10" x14ac:dyDescent="0.3">
      <c r="A3">
        <v>10</v>
      </c>
      <c r="B3" s="2" t="s">
        <v>75</v>
      </c>
      <c r="C3" s="2">
        <v>5</v>
      </c>
      <c r="D3" s="2">
        <v>0</v>
      </c>
      <c r="E3" s="2">
        <v>0</v>
      </c>
      <c r="F3" s="2">
        <v>3</v>
      </c>
      <c r="G3" s="2">
        <v>1</v>
      </c>
      <c r="H3" s="2">
        <v>1</v>
      </c>
      <c r="I3" s="2">
        <f t="shared" ref="I3:I8" si="0">SUM(C3:H3)</f>
        <v>10</v>
      </c>
      <c r="J3" s="18">
        <v>46023</v>
      </c>
    </row>
    <row r="4" spans="1:10" x14ac:dyDescent="0.3">
      <c r="A4">
        <v>11</v>
      </c>
      <c r="B4" t="s">
        <v>76</v>
      </c>
      <c r="C4" s="2">
        <v>2</v>
      </c>
      <c r="D4" s="2">
        <v>1</v>
      </c>
      <c r="E4" s="2">
        <v>2</v>
      </c>
      <c r="F4" s="2">
        <v>4</v>
      </c>
      <c r="G4" s="2">
        <v>0</v>
      </c>
      <c r="H4" s="2">
        <v>1</v>
      </c>
      <c r="I4" s="2">
        <f t="shared" si="0"/>
        <v>10</v>
      </c>
      <c r="J4" s="18">
        <v>46023</v>
      </c>
    </row>
    <row r="5" spans="1:10" x14ac:dyDescent="0.3">
      <c r="A5">
        <v>12</v>
      </c>
      <c r="B5" t="s">
        <v>77</v>
      </c>
      <c r="C5" s="2">
        <v>1</v>
      </c>
      <c r="D5" s="2">
        <v>2</v>
      </c>
      <c r="E5" s="2">
        <v>2</v>
      </c>
      <c r="F5" s="2">
        <v>3</v>
      </c>
      <c r="G5" s="2">
        <v>1</v>
      </c>
      <c r="H5" s="2">
        <v>1</v>
      </c>
      <c r="I5" s="2">
        <f t="shared" si="0"/>
        <v>10</v>
      </c>
      <c r="J5" s="18">
        <v>46023</v>
      </c>
    </row>
    <row r="6" spans="1:10" x14ac:dyDescent="0.3">
      <c r="A6">
        <v>13</v>
      </c>
      <c r="B6" t="s">
        <v>78</v>
      </c>
      <c r="C6" s="2">
        <v>5</v>
      </c>
      <c r="D6" s="2">
        <v>0</v>
      </c>
      <c r="E6" s="2">
        <v>0</v>
      </c>
      <c r="F6" s="2">
        <v>5</v>
      </c>
      <c r="G6" s="2">
        <v>0</v>
      </c>
      <c r="H6" s="2">
        <v>0</v>
      </c>
      <c r="I6" s="2">
        <f t="shared" si="0"/>
        <v>10</v>
      </c>
      <c r="J6" s="18">
        <v>46023</v>
      </c>
    </row>
    <row r="7" spans="1:10" x14ac:dyDescent="0.3">
      <c r="A7">
        <v>14</v>
      </c>
      <c r="B7" t="s">
        <v>79</v>
      </c>
      <c r="C7" s="2">
        <v>3</v>
      </c>
      <c r="D7" s="2">
        <v>1</v>
      </c>
      <c r="E7" s="2">
        <v>1</v>
      </c>
      <c r="F7" s="2">
        <v>2</v>
      </c>
      <c r="G7" s="2">
        <v>2</v>
      </c>
      <c r="H7" s="2">
        <v>1</v>
      </c>
      <c r="I7" s="2">
        <f t="shared" si="0"/>
        <v>10</v>
      </c>
      <c r="J7" s="18">
        <v>46023</v>
      </c>
    </row>
    <row r="8" spans="1:10" x14ac:dyDescent="0.3">
      <c r="A8">
        <v>15</v>
      </c>
      <c r="B8" t="s">
        <v>80</v>
      </c>
      <c r="C8" s="2">
        <v>4</v>
      </c>
      <c r="D8" s="2">
        <v>0</v>
      </c>
      <c r="E8" s="2">
        <v>1</v>
      </c>
      <c r="F8" s="2">
        <v>3</v>
      </c>
      <c r="G8" s="2">
        <v>0</v>
      </c>
      <c r="H8" s="2">
        <v>2</v>
      </c>
      <c r="I8" s="2">
        <f t="shared" si="0"/>
        <v>10</v>
      </c>
      <c r="J8" s="18">
        <v>46023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3FBF-7FDE-4651-93EE-F618991E9963}">
  <dimension ref="A1:Q17"/>
  <sheetViews>
    <sheetView workbookViewId="0">
      <selection activeCell="P4" sqref="P4"/>
    </sheetView>
  </sheetViews>
  <sheetFormatPr defaultRowHeight="14.4" x14ac:dyDescent="0.3"/>
  <cols>
    <col min="1" max="1" width="18.21875" customWidth="1"/>
  </cols>
  <sheetData>
    <row r="1" spans="1:17" ht="43.2" x14ac:dyDescent="0.3">
      <c r="A1" s="1" t="s">
        <v>128</v>
      </c>
      <c r="B1" s="1" t="s">
        <v>129</v>
      </c>
      <c r="C1" s="1" t="s">
        <v>130</v>
      </c>
      <c r="D1" s="1" t="s">
        <v>131</v>
      </c>
      <c r="E1" s="1" t="s">
        <v>31</v>
      </c>
      <c r="F1" s="1" t="s">
        <v>132</v>
      </c>
      <c r="G1" s="1" t="s">
        <v>133</v>
      </c>
      <c r="H1" s="1" t="s">
        <v>134</v>
      </c>
      <c r="I1" s="1" t="s">
        <v>32</v>
      </c>
      <c r="J1" s="1" t="s">
        <v>33</v>
      </c>
      <c r="K1" s="1" t="s">
        <v>135</v>
      </c>
      <c r="L1" s="1" t="s">
        <v>136</v>
      </c>
      <c r="M1" s="1" t="s">
        <v>137</v>
      </c>
      <c r="N1" s="1" t="s">
        <v>34</v>
      </c>
      <c r="O1" s="1" t="s">
        <v>138</v>
      </c>
      <c r="P1" s="1" t="s">
        <v>63</v>
      </c>
      <c r="Q1" s="16" t="s">
        <v>106</v>
      </c>
    </row>
    <row r="2" spans="1:17" x14ac:dyDescent="0.3">
      <c r="A2" s="2" t="s">
        <v>74</v>
      </c>
      <c r="B2" s="2" t="s">
        <v>139</v>
      </c>
      <c r="C2" s="2">
        <v>5</v>
      </c>
      <c r="D2" s="2">
        <v>3</v>
      </c>
      <c r="E2" s="2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>
        <f>SUM(C2:O2)</f>
        <v>12</v>
      </c>
      <c r="Q2" s="18">
        <v>46023</v>
      </c>
    </row>
    <row r="3" spans="1:17" x14ac:dyDescent="0.3">
      <c r="A3" s="2" t="s">
        <v>75</v>
      </c>
      <c r="B3" s="2" t="s">
        <v>140</v>
      </c>
      <c r="C3" s="2"/>
      <c r="D3" s="2"/>
      <c r="E3" s="2"/>
      <c r="F3" s="2">
        <v>6</v>
      </c>
      <c r="G3" s="2">
        <v>4</v>
      </c>
      <c r="H3" s="2">
        <v>22</v>
      </c>
      <c r="I3" s="2">
        <v>18</v>
      </c>
      <c r="J3" s="2">
        <v>7</v>
      </c>
      <c r="K3" s="2">
        <v>12</v>
      </c>
      <c r="L3" s="2">
        <v>1</v>
      </c>
      <c r="M3" s="2">
        <v>3</v>
      </c>
      <c r="N3" s="2">
        <v>1</v>
      </c>
      <c r="O3" s="2">
        <v>2</v>
      </c>
      <c r="P3" s="2">
        <f t="shared" ref="P3:P8" si="0">SUM(C3:O3)</f>
        <v>76</v>
      </c>
      <c r="Q3" s="18">
        <v>46023</v>
      </c>
    </row>
    <row r="4" spans="1:17" x14ac:dyDescent="0.3">
      <c r="A4" t="s">
        <v>76</v>
      </c>
      <c r="B4" s="2" t="s">
        <v>139</v>
      </c>
      <c r="C4" s="2">
        <v>4</v>
      </c>
      <c r="D4" s="2">
        <v>2</v>
      </c>
      <c r="E4" s="2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>
        <f t="shared" si="0"/>
        <v>11</v>
      </c>
      <c r="Q4" s="18">
        <v>46023</v>
      </c>
    </row>
    <row r="5" spans="1:17" x14ac:dyDescent="0.3">
      <c r="A5" t="s">
        <v>77</v>
      </c>
      <c r="B5" s="2" t="s">
        <v>140</v>
      </c>
      <c r="C5" s="2"/>
      <c r="D5" s="2"/>
      <c r="E5" s="2"/>
      <c r="F5" s="2">
        <v>5</v>
      </c>
      <c r="G5" s="2">
        <v>3</v>
      </c>
      <c r="H5" s="2">
        <v>20</v>
      </c>
      <c r="I5" s="2">
        <v>17</v>
      </c>
      <c r="J5" s="2">
        <v>6</v>
      </c>
      <c r="K5" s="2">
        <v>10</v>
      </c>
      <c r="L5" s="2">
        <v>2</v>
      </c>
      <c r="M5" s="2">
        <v>2</v>
      </c>
      <c r="N5" s="2">
        <v>1</v>
      </c>
      <c r="O5" s="2">
        <v>1</v>
      </c>
      <c r="P5" s="2">
        <f t="shared" si="0"/>
        <v>67</v>
      </c>
      <c r="Q5" s="18">
        <v>46023</v>
      </c>
    </row>
    <row r="6" spans="1:17" x14ac:dyDescent="0.3">
      <c r="A6" t="s">
        <v>78</v>
      </c>
      <c r="B6" s="2" t="s">
        <v>139</v>
      </c>
      <c r="C6" s="2">
        <v>6</v>
      </c>
      <c r="D6" s="2">
        <v>4</v>
      </c>
      <c r="E6" s="2">
        <v>3</v>
      </c>
      <c r="F6" s="2"/>
      <c r="G6" s="2"/>
      <c r="H6" s="2"/>
      <c r="I6" s="2"/>
      <c r="J6" s="2"/>
      <c r="K6" s="2"/>
      <c r="L6" s="2"/>
      <c r="M6" s="2"/>
      <c r="N6" s="2"/>
      <c r="O6" s="2"/>
      <c r="P6" s="2">
        <f t="shared" si="0"/>
        <v>13</v>
      </c>
      <c r="Q6" s="18">
        <v>46023</v>
      </c>
    </row>
    <row r="7" spans="1:17" x14ac:dyDescent="0.3">
      <c r="A7" t="s">
        <v>79</v>
      </c>
      <c r="B7" s="2" t="s">
        <v>140</v>
      </c>
      <c r="C7" s="2"/>
      <c r="D7" s="2"/>
      <c r="E7" s="2"/>
      <c r="F7" s="2">
        <v>7</v>
      </c>
      <c r="G7" s="2">
        <v>5</v>
      </c>
      <c r="H7" s="2">
        <v>25</v>
      </c>
      <c r="I7" s="2">
        <v>20</v>
      </c>
      <c r="J7" s="2">
        <v>8</v>
      </c>
      <c r="K7" s="2">
        <v>14</v>
      </c>
      <c r="L7" s="2">
        <v>0</v>
      </c>
      <c r="M7" s="2">
        <v>4</v>
      </c>
      <c r="N7" s="2">
        <v>2</v>
      </c>
      <c r="O7" s="2">
        <v>3</v>
      </c>
      <c r="P7" s="2">
        <f t="shared" si="0"/>
        <v>88</v>
      </c>
      <c r="Q7" s="18">
        <v>46023</v>
      </c>
    </row>
    <row r="8" spans="1:17" x14ac:dyDescent="0.3">
      <c r="A8" t="s">
        <v>80</v>
      </c>
      <c r="B8" s="2" t="s">
        <v>139</v>
      </c>
      <c r="C8" s="2">
        <v>3</v>
      </c>
      <c r="D8" s="2">
        <v>2</v>
      </c>
      <c r="E8" s="2">
        <v>4</v>
      </c>
      <c r="F8" s="2"/>
      <c r="G8" s="2"/>
      <c r="H8" s="2"/>
      <c r="I8" s="2"/>
      <c r="J8" s="2"/>
      <c r="K8" s="2"/>
      <c r="L8" s="2"/>
      <c r="M8" s="2"/>
      <c r="N8" s="2"/>
      <c r="O8" s="2"/>
      <c r="P8" s="2">
        <f t="shared" si="0"/>
        <v>9</v>
      </c>
      <c r="Q8" s="18">
        <v>46023</v>
      </c>
    </row>
    <row r="9" spans="1:17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6"/>
    </row>
    <row r="10" spans="1:17" x14ac:dyDescent="0.3">
      <c r="Q10" s="6"/>
    </row>
    <row r="11" spans="1:17" x14ac:dyDescent="0.3">
      <c r="Q11" s="6"/>
    </row>
    <row r="12" spans="1:17" x14ac:dyDescent="0.3">
      <c r="Q12" s="6"/>
    </row>
    <row r="13" spans="1:17" x14ac:dyDescent="0.3">
      <c r="Q13" s="6"/>
    </row>
    <row r="14" spans="1:17" x14ac:dyDescent="0.3">
      <c r="Q14" s="6"/>
    </row>
    <row r="15" spans="1:17" x14ac:dyDescent="0.3">
      <c r="Q15" s="6"/>
    </row>
    <row r="16" spans="1:17" x14ac:dyDescent="0.3">
      <c r="Q16" s="6"/>
    </row>
    <row r="17" spans="17:17" x14ac:dyDescent="0.3">
      <c r="Q17" s="6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D8A4-1D9C-46C5-9EFF-C90459350FD0}">
  <dimension ref="A1:AH52"/>
  <sheetViews>
    <sheetView tabSelected="1" workbookViewId="0">
      <selection activeCell="P20" sqref="P20"/>
    </sheetView>
  </sheetViews>
  <sheetFormatPr defaultRowHeight="14.4" x14ac:dyDescent="0.3"/>
  <cols>
    <col min="2" max="2" width="16.88671875" customWidth="1"/>
    <col min="3" max="3" width="15.109375" customWidth="1"/>
    <col min="14" max="14" width="17.88671875" customWidth="1"/>
    <col min="15" max="15" width="18.88671875" customWidth="1"/>
    <col min="16" max="16" width="11.109375" customWidth="1"/>
  </cols>
  <sheetData>
    <row r="1" spans="1:34" ht="28.8" x14ac:dyDescent="0.3">
      <c r="A1" s="1" t="s">
        <v>108</v>
      </c>
      <c r="B1" s="1" t="s">
        <v>65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9</v>
      </c>
      <c r="N1" s="1" t="s">
        <v>49</v>
      </c>
      <c r="O1" s="1" t="s">
        <v>50</v>
      </c>
      <c r="P1" s="1" t="s">
        <v>51</v>
      </c>
      <c r="Q1" s="1" t="s">
        <v>141</v>
      </c>
      <c r="R1" s="16" t="s">
        <v>106</v>
      </c>
    </row>
    <row r="2" spans="1:34" x14ac:dyDescent="0.3">
      <c r="A2">
        <v>17</v>
      </c>
      <c r="B2" t="s">
        <v>82</v>
      </c>
      <c r="C2" s="2">
        <v>5</v>
      </c>
      <c r="D2" s="2">
        <v>5</v>
      </c>
      <c r="E2" s="2">
        <v>2</v>
      </c>
      <c r="F2" s="2">
        <v>1</v>
      </c>
      <c r="G2" s="2">
        <v>0</v>
      </c>
      <c r="H2" s="2">
        <v>0</v>
      </c>
      <c r="I2" s="2">
        <v>0</v>
      </c>
      <c r="J2" s="2">
        <v>1</v>
      </c>
      <c r="K2" s="2">
        <v>1</v>
      </c>
      <c r="L2" s="2">
        <v>0</v>
      </c>
      <c r="M2" s="2">
        <v>1</v>
      </c>
      <c r="N2" s="2" t="s">
        <v>52</v>
      </c>
      <c r="O2" s="2">
        <v>4</v>
      </c>
      <c r="P2" s="2" t="s">
        <v>53</v>
      </c>
      <c r="Q2" t="s">
        <v>100</v>
      </c>
      <c r="R2" s="18">
        <v>46023</v>
      </c>
    </row>
    <row r="3" spans="1:34" x14ac:dyDescent="0.3">
      <c r="A3">
        <v>18</v>
      </c>
      <c r="B3" t="s">
        <v>83</v>
      </c>
      <c r="C3" s="2">
        <v>6</v>
      </c>
      <c r="D3" s="2">
        <v>6</v>
      </c>
      <c r="E3" s="2">
        <v>1</v>
      </c>
      <c r="F3" s="2">
        <v>2</v>
      </c>
      <c r="G3" s="2">
        <v>1</v>
      </c>
      <c r="H3" s="2">
        <v>0</v>
      </c>
      <c r="I3" s="2">
        <v>0</v>
      </c>
      <c r="J3" s="2">
        <v>1</v>
      </c>
      <c r="K3" s="2">
        <v>1</v>
      </c>
      <c r="L3" s="2">
        <v>0</v>
      </c>
      <c r="M3" s="2">
        <v>1</v>
      </c>
      <c r="N3" s="2" t="s">
        <v>54</v>
      </c>
      <c r="O3" s="2">
        <v>5</v>
      </c>
      <c r="P3" s="2" t="s">
        <v>55</v>
      </c>
      <c r="Q3" t="s">
        <v>100</v>
      </c>
      <c r="R3" s="18">
        <v>46023</v>
      </c>
    </row>
    <row r="4" spans="1:34" x14ac:dyDescent="0.3">
      <c r="A4">
        <v>19</v>
      </c>
      <c r="B4" t="s">
        <v>84</v>
      </c>
      <c r="C4" s="2">
        <v>4</v>
      </c>
      <c r="D4" s="2">
        <v>4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 t="s">
        <v>56</v>
      </c>
      <c r="O4" s="2">
        <v>3</v>
      </c>
      <c r="P4" s="2" t="s">
        <v>57</v>
      </c>
      <c r="Q4" t="s">
        <v>100</v>
      </c>
      <c r="R4" s="18">
        <v>46023</v>
      </c>
    </row>
    <row r="5" spans="1:34" x14ac:dyDescent="0.3">
      <c r="A5">
        <v>20</v>
      </c>
      <c r="B5" t="s">
        <v>85</v>
      </c>
      <c r="C5" s="2">
        <v>7</v>
      </c>
      <c r="D5" s="2">
        <v>7</v>
      </c>
      <c r="E5" s="2">
        <v>3</v>
      </c>
      <c r="F5" s="2">
        <v>1</v>
      </c>
      <c r="G5" s="2">
        <v>0</v>
      </c>
      <c r="H5" s="2">
        <v>1</v>
      </c>
      <c r="I5" s="2">
        <v>0</v>
      </c>
      <c r="J5" s="2">
        <v>1</v>
      </c>
      <c r="K5" s="2">
        <v>1</v>
      </c>
      <c r="L5" s="2">
        <v>0</v>
      </c>
      <c r="M5" s="2">
        <v>0</v>
      </c>
      <c r="N5" s="2" t="s">
        <v>58</v>
      </c>
      <c r="O5" s="2">
        <v>7</v>
      </c>
      <c r="P5" s="2" t="s">
        <v>59</v>
      </c>
      <c r="Q5" t="s">
        <v>100</v>
      </c>
      <c r="R5" s="18">
        <v>46023</v>
      </c>
    </row>
    <row r="6" spans="1:34" ht="28.8" x14ac:dyDescent="0.3">
      <c r="A6">
        <v>21</v>
      </c>
      <c r="B6" t="s">
        <v>86</v>
      </c>
      <c r="C6" s="2">
        <v>5</v>
      </c>
      <c r="D6" s="2">
        <v>5</v>
      </c>
      <c r="E6" s="2">
        <v>2</v>
      </c>
      <c r="F6" s="2">
        <v>0</v>
      </c>
      <c r="G6" s="2">
        <v>1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1</v>
      </c>
      <c r="N6" s="2" t="s">
        <v>60</v>
      </c>
      <c r="O6" s="2">
        <v>4</v>
      </c>
      <c r="P6" s="2" t="s">
        <v>61</v>
      </c>
      <c r="Q6" t="s">
        <v>100</v>
      </c>
      <c r="R6" s="18">
        <v>46023</v>
      </c>
    </row>
    <row r="7" spans="1:34" x14ac:dyDescent="0.3">
      <c r="A7">
        <v>22</v>
      </c>
      <c r="B7" t="s">
        <v>87</v>
      </c>
      <c r="C7" s="2">
        <v>6</v>
      </c>
      <c r="D7" s="2">
        <v>6</v>
      </c>
      <c r="E7" s="2">
        <v>2</v>
      </c>
      <c r="F7" s="2">
        <v>1</v>
      </c>
      <c r="G7" s="2">
        <v>0</v>
      </c>
      <c r="H7" s="2">
        <v>0</v>
      </c>
      <c r="I7" s="2">
        <v>0</v>
      </c>
      <c r="J7" s="2">
        <v>2</v>
      </c>
      <c r="K7" s="2">
        <v>0</v>
      </c>
      <c r="L7" s="2">
        <v>0</v>
      </c>
      <c r="M7" s="2">
        <v>1</v>
      </c>
      <c r="N7" s="2" t="s">
        <v>62</v>
      </c>
      <c r="O7" s="2">
        <v>5</v>
      </c>
      <c r="P7" s="2" t="s">
        <v>53</v>
      </c>
      <c r="Q7" t="s">
        <v>100</v>
      </c>
      <c r="R7" s="18">
        <v>46023</v>
      </c>
    </row>
    <row r="8" spans="1:34" x14ac:dyDescent="0.3">
      <c r="A8">
        <v>23</v>
      </c>
      <c r="B8" t="s">
        <v>88</v>
      </c>
      <c r="C8" s="2">
        <v>5</v>
      </c>
      <c r="D8" s="2">
        <v>5</v>
      </c>
      <c r="E8" s="2">
        <v>2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 t="s">
        <v>52</v>
      </c>
      <c r="O8" s="4">
        <v>5</v>
      </c>
      <c r="P8" s="2" t="s">
        <v>53</v>
      </c>
      <c r="Q8" t="s">
        <v>100</v>
      </c>
      <c r="R8" s="18">
        <v>46023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3">
      <c r="A9">
        <v>24</v>
      </c>
      <c r="B9" t="s">
        <v>89</v>
      </c>
      <c r="C9" s="2">
        <v>6</v>
      </c>
      <c r="D9" s="2">
        <v>6</v>
      </c>
      <c r="E9" s="2">
        <v>1</v>
      </c>
      <c r="F9" s="2">
        <v>2</v>
      </c>
      <c r="G9" s="2">
        <v>1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1</v>
      </c>
      <c r="N9" s="2" t="s">
        <v>54</v>
      </c>
      <c r="O9" s="2">
        <v>3</v>
      </c>
      <c r="P9" s="2" t="s">
        <v>55</v>
      </c>
      <c r="Q9" t="s">
        <v>100</v>
      </c>
      <c r="R9" s="18">
        <v>46023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3">
      <c r="A10">
        <v>25</v>
      </c>
      <c r="B10" t="s">
        <v>90</v>
      </c>
      <c r="C10" s="2">
        <v>4</v>
      </c>
      <c r="D10" s="2">
        <v>4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1</v>
      </c>
      <c r="M10" s="2">
        <v>11</v>
      </c>
      <c r="N10" s="2" t="s">
        <v>56</v>
      </c>
      <c r="O10" s="2">
        <v>8</v>
      </c>
      <c r="P10" s="2" t="s">
        <v>57</v>
      </c>
      <c r="Q10" t="s">
        <v>100</v>
      </c>
      <c r="R10" s="18">
        <v>46023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3">
      <c r="A11">
        <v>26</v>
      </c>
      <c r="B11" t="s">
        <v>91</v>
      </c>
      <c r="C11" s="2">
        <v>5</v>
      </c>
      <c r="D11" s="2">
        <v>5</v>
      </c>
      <c r="E11" s="2">
        <v>2</v>
      </c>
      <c r="F11" s="2">
        <v>1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1</v>
      </c>
      <c r="N11" s="2" t="s">
        <v>58</v>
      </c>
      <c r="O11" s="2">
        <v>4</v>
      </c>
      <c r="P11" s="2" t="s">
        <v>53</v>
      </c>
      <c r="Q11" t="s">
        <v>142</v>
      </c>
      <c r="R11" s="18">
        <v>46023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28.8" x14ac:dyDescent="0.3">
      <c r="A12">
        <v>27</v>
      </c>
      <c r="B12" t="s">
        <v>92</v>
      </c>
      <c r="C12" s="2">
        <v>6</v>
      </c>
      <c r="D12" s="2">
        <v>6</v>
      </c>
      <c r="E12" s="2">
        <v>1</v>
      </c>
      <c r="F12" s="2">
        <v>2</v>
      </c>
      <c r="G12" s="2">
        <v>1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 t="s">
        <v>60</v>
      </c>
      <c r="O12" s="2">
        <v>2</v>
      </c>
      <c r="P12" s="2" t="s">
        <v>55</v>
      </c>
      <c r="Q12" t="s">
        <v>142</v>
      </c>
      <c r="R12" s="18">
        <v>46023</v>
      </c>
      <c r="T12" s="4"/>
      <c r="U12" s="2"/>
      <c r="V12" s="4"/>
      <c r="W12" s="4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/>
    </row>
    <row r="13" spans="1:34" x14ac:dyDescent="0.3">
      <c r="A13">
        <v>28</v>
      </c>
      <c r="B13" t="s">
        <v>93</v>
      </c>
      <c r="C13" s="2">
        <v>4</v>
      </c>
      <c r="D13" s="2">
        <v>4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1</v>
      </c>
      <c r="M13" s="2">
        <v>1</v>
      </c>
      <c r="N13" s="2" t="s">
        <v>62</v>
      </c>
      <c r="O13" s="2">
        <v>8</v>
      </c>
      <c r="P13" s="2" t="s">
        <v>57</v>
      </c>
      <c r="Q13" t="s">
        <v>142</v>
      </c>
      <c r="R13" s="18">
        <v>46023</v>
      </c>
    </row>
    <row r="14" spans="1:34" x14ac:dyDescent="0.3">
      <c r="A14">
        <v>29</v>
      </c>
      <c r="B14" t="s">
        <v>94</v>
      </c>
      <c r="C14" s="2">
        <v>7</v>
      </c>
      <c r="D14" s="2">
        <v>7</v>
      </c>
      <c r="E14" s="2">
        <v>3</v>
      </c>
      <c r="F14" s="2">
        <v>1</v>
      </c>
      <c r="G14" s="2">
        <v>0</v>
      </c>
      <c r="H14" s="2">
        <v>1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  <c r="N14" s="2" t="s">
        <v>52</v>
      </c>
      <c r="O14" s="2">
        <v>5</v>
      </c>
      <c r="P14" s="2" t="s">
        <v>59</v>
      </c>
      <c r="Q14" t="s">
        <v>142</v>
      </c>
      <c r="R14" s="18">
        <v>46023</v>
      </c>
    </row>
    <row r="15" spans="1:34" x14ac:dyDescent="0.3">
      <c r="A15">
        <v>30</v>
      </c>
      <c r="B15" t="s">
        <v>95</v>
      </c>
      <c r="C15" s="2">
        <v>5</v>
      </c>
      <c r="D15" s="2">
        <v>5</v>
      </c>
      <c r="E15" s="2">
        <v>2</v>
      </c>
      <c r="F15" s="2">
        <v>0</v>
      </c>
      <c r="G15" s="2">
        <v>1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 t="s">
        <v>54</v>
      </c>
      <c r="O15" s="2">
        <v>4</v>
      </c>
      <c r="P15" s="2" t="s">
        <v>61</v>
      </c>
      <c r="Q15" t="s">
        <v>142</v>
      </c>
      <c r="R15" s="18">
        <v>46023</v>
      </c>
    </row>
    <row r="16" spans="1:34" x14ac:dyDescent="0.3">
      <c r="A16">
        <v>31</v>
      </c>
      <c r="B16" t="s">
        <v>96</v>
      </c>
      <c r="C16" s="2">
        <v>6</v>
      </c>
      <c r="D16" s="2">
        <v>6</v>
      </c>
      <c r="E16" s="2">
        <v>2</v>
      </c>
      <c r="F16" s="2">
        <v>1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1</v>
      </c>
      <c r="N16" s="2" t="s">
        <v>56</v>
      </c>
      <c r="O16" s="2">
        <v>6</v>
      </c>
      <c r="P16" s="2" t="s">
        <v>53</v>
      </c>
      <c r="Q16" t="s">
        <v>142</v>
      </c>
      <c r="R16" s="18">
        <v>46023</v>
      </c>
    </row>
    <row r="17" spans="1:18" x14ac:dyDescent="0.3">
      <c r="A17">
        <v>32</v>
      </c>
      <c r="B17" t="s">
        <v>97</v>
      </c>
      <c r="C17" s="2">
        <v>5</v>
      </c>
      <c r="D17" s="2">
        <v>5</v>
      </c>
      <c r="E17" s="2">
        <v>2</v>
      </c>
      <c r="F17" s="2">
        <v>1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0</v>
      </c>
      <c r="M17" s="2">
        <v>1</v>
      </c>
      <c r="N17" s="2" t="s">
        <v>58</v>
      </c>
      <c r="O17" s="2">
        <v>5</v>
      </c>
      <c r="P17" s="2" t="s">
        <v>53</v>
      </c>
      <c r="Q17" t="s">
        <v>142</v>
      </c>
      <c r="R17" s="18">
        <v>46023</v>
      </c>
    </row>
    <row r="18" spans="1:18" x14ac:dyDescent="0.3">
      <c r="N18" s="2"/>
      <c r="R18" s="6"/>
    </row>
    <row r="19" spans="1:18" x14ac:dyDescent="0.3">
      <c r="N19" s="2"/>
      <c r="R19" s="6"/>
    </row>
    <row r="20" spans="1:18" x14ac:dyDescent="0.3">
      <c r="R20" s="6"/>
    </row>
    <row r="21" spans="1:18" x14ac:dyDescent="0.3">
      <c r="R21" s="6"/>
    </row>
    <row r="22" spans="1:18" x14ac:dyDescent="0.3">
      <c r="R22" s="6"/>
    </row>
    <row r="23" spans="1:18" x14ac:dyDescent="0.3">
      <c r="R23" s="6"/>
    </row>
    <row r="24" spans="1:18" x14ac:dyDescent="0.3">
      <c r="R24" s="6"/>
    </row>
    <row r="25" spans="1:18" x14ac:dyDescent="0.3">
      <c r="R25" s="6"/>
    </row>
    <row r="36" spans="1:12" x14ac:dyDescent="0.3">
      <c r="A36" s="1"/>
      <c r="B36" s="1"/>
      <c r="C36" s="1"/>
      <c r="D36" s="1"/>
      <c r="E36" s="1"/>
      <c r="H36" s="1"/>
      <c r="I36" s="1"/>
      <c r="J36" s="1"/>
      <c r="K36" s="1"/>
      <c r="L36" s="1"/>
    </row>
    <row r="37" spans="1:12" x14ac:dyDescent="0.3">
      <c r="A37" s="2"/>
      <c r="B37" s="2"/>
      <c r="C37" s="6"/>
      <c r="D37" s="2"/>
      <c r="E37" s="2"/>
      <c r="H37" s="2"/>
      <c r="I37" s="2"/>
      <c r="J37" s="6"/>
      <c r="K37" s="2"/>
      <c r="L37" s="2"/>
    </row>
    <row r="38" spans="1:12" x14ac:dyDescent="0.3">
      <c r="A38" s="2"/>
      <c r="B38" s="2"/>
      <c r="C38" s="6"/>
      <c r="D38" s="2"/>
      <c r="E38" s="2"/>
      <c r="H38" s="4"/>
      <c r="I38" s="2"/>
      <c r="J38" s="2"/>
      <c r="K38" s="2"/>
      <c r="L38" s="2"/>
    </row>
    <row r="39" spans="1:12" x14ac:dyDescent="0.3">
      <c r="A39" s="4"/>
      <c r="B39" s="2"/>
      <c r="C39" s="2"/>
      <c r="D39" s="2"/>
      <c r="E39" s="2"/>
    </row>
    <row r="43" spans="1:12" x14ac:dyDescent="0.3">
      <c r="A43" s="1"/>
      <c r="B43" s="1"/>
      <c r="C43" s="1"/>
      <c r="D43" s="1"/>
      <c r="E43" s="1"/>
      <c r="I43" s="1"/>
      <c r="J43" s="1"/>
    </row>
    <row r="44" spans="1:12" x14ac:dyDescent="0.3">
      <c r="A44" s="2"/>
      <c r="B44" s="2"/>
      <c r="C44" s="2"/>
      <c r="D44" s="2"/>
      <c r="E44" s="2"/>
      <c r="I44" s="2"/>
      <c r="J44" s="2"/>
    </row>
    <row r="45" spans="1:12" x14ac:dyDescent="0.3">
      <c r="A45" s="2"/>
      <c r="B45" s="2"/>
      <c r="C45" s="2"/>
      <c r="D45" s="2"/>
      <c r="E45" s="2"/>
      <c r="I45" s="2"/>
      <c r="J45" s="2"/>
    </row>
    <row r="46" spans="1:12" x14ac:dyDescent="0.3">
      <c r="A46" s="2"/>
      <c r="B46" s="2"/>
      <c r="C46" s="2"/>
      <c r="D46" s="2"/>
      <c r="E46" s="2"/>
      <c r="I46" s="2"/>
      <c r="J46" s="2"/>
    </row>
    <row r="47" spans="1:12" x14ac:dyDescent="0.3">
      <c r="A47" s="2"/>
      <c r="B47" s="2"/>
      <c r="C47" s="2"/>
      <c r="D47" s="2"/>
      <c r="E47" s="2"/>
      <c r="I47" s="2"/>
      <c r="J47" s="2"/>
    </row>
    <row r="48" spans="1:12" x14ac:dyDescent="0.3">
      <c r="A48" s="2"/>
      <c r="B48" s="2"/>
      <c r="C48" s="2"/>
      <c r="D48" s="2"/>
      <c r="E48" s="2"/>
      <c r="I48" s="2"/>
      <c r="J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83EA-1E48-43EA-9D71-4EC6421990D9}">
  <dimension ref="A1:F25"/>
  <sheetViews>
    <sheetView workbookViewId="0">
      <selection activeCell="E2" sqref="E2:E25"/>
    </sheetView>
  </sheetViews>
  <sheetFormatPr defaultRowHeight="14.4" x14ac:dyDescent="0.3"/>
  <cols>
    <col min="1" max="1" width="19.77734375" customWidth="1"/>
    <col min="2" max="2" width="8.21875" bestFit="1" customWidth="1"/>
    <col min="3" max="3" width="18.5546875" customWidth="1"/>
    <col min="4" max="4" width="13.77734375" customWidth="1"/>
    <col min="5" max="5" width="10.21875" style="5" customWidth="1"/>
    <col min="6" max="6" width="19.6640625" customWidth="1"/>
  </cols>
  <sheetData>
    <row r="1" spans="1:6" x14ac:dyDescent="0.3">
      <c r="A1" s="1" t="s">
        <v>149</v>
      </c>
      <c r="B1" s="1" t="s">
        <v>36</v>
      </c>
      <c r="C1" s="1" t="s">
        <v>113</v>
      </c>
      <c r="D1" s="1" t="s">
        <v>167</v>
      </c>
      <c r="E1" s="16" t="s">
        <v>106</v>
      </c>
      <c r="F1" s="1" t="s">
        <v>168</v>
      </c>
    </row>
    <row r="2" spans="1:6" x14ac:dyDescent="0.3">
      <c r="A2" s="2" t="s">
        <v>160</v>
      </c>
      <c r="B2" s="2" t="s">
        <v>37</v>
      </c>
      <c r="C2" s="2" t="s">
        <v>143</v>
      </c>
      <c r="D2" s="2" t="s">
        <v>144</v>
      </c>
      <c r="E2" s="18">
        <v>46023</v>
      </c>
      <c r="F2" s="2">
        <v>18</v>
      </c>
    </row>
    <row r="3" spans="1:6" x14ac:dyDescent="0.3">
      <c r="A3" s="2" t="s">
        <v>161</v>
      </c>
      <c r="B3" s="2" t="s">
        <v>37</v>
      </c>
      <c r="C3" s="2" t="s">
        <v>143</v>
      </c>
      <c r="D3" s="2" t="s">
        <v>144</v>
      </c>
      <c r="E3" s="18">
        <v>46023</v>
      </c>
      <c r="F3" s="2">
        <v>22</v>
      </c>
    </row>
    <row r="4" spans="1:6" x14ac:dyDescent="0.3">
      <c r="A4" s="2" t="s">
        <v>154</v>
      </c>
      <c r="B4" s="2" t="s">
        <v>37</v>
      </c>
      <c r="C4" s="2" t="s">
        <v>143</v>
      </c>
      <c r="D4" s="2" t="s">
        <v>144</v>
      </c>
      <c r="E4" s="18">
        <v>46023</v>
      </c>
      <c r="F4" s="2">
        <v>16</v>
      </c>
    </row>
    <row r="5" spans="1:6" x14ac:dyDescent="0.3">
      <c r="A5" s="2" t="s">
        <v>155</v>
      </c>
      <c r="B5" s="2" t="s">
        <v>37</v>
      </c>
      <c r="C5" s="2" t="s">
        <v>143</v>
      </c>
      <c r="D5" s="2" t="s">
        <v>144</v>
      </c>
      <c r="E5" s="18">
        <v>46023</v>
      </c>
      <c r="F5" s="2">
        <v>20</v>
      </c>
    </row>
    <row r="6" spans="1:6" x14ac:dyDescent="0.3">
      <c r="A6" s="2" t="s">
        <v>162</v>
      </c>
      <c r="B6" s="2" t="s">
        <v>37</v>
      </c>
      <c r="C6" s="2" t="s">
        <v>143</v>
      </c>
      <c r="D6" s="2" t="s">
        <v>144</v>
      </c>
      <c r="E6" s="18">
        <v>46023</v>
      </c>
      <c r="F6" s="2">
        <v>14</v>
      </c>
    </row>
    <row r="7" spans="1:6" x14ac:dyDescent="0.3">
      <c r="A7" s="2" t="s">
        <v>163</v>
      </c>
      <c r="B7" s="2" t="s">
        <v>37</v>
      </c>
      <c r="C7" s="2" t="s">
        <v>145</v>
      </c>
      <c r="D7" s="2" t="s">
        <v>144</v>
      </c>
      <c r="E7" s="18">
        <v>46023</v>
      </c>
      <c r="F7" s="2">
        <v>2</v>
      </c>
    </row>
    <row r="8" spans="1:6" x14ac:dyDescent="0.3">
      <c r="A8" s="2" t="s">
        <v>74</v>
      </c>
      <c r="B8" s="2" t="s">
        <v>37</v>
      </c>
      <c r="C8" s="2" t="s">
        <v>145</v>
      </c>
      <c r="D8" s="2" t="s">
        <v>144</v>
      </c>
      <c r="E8" s="18">
        <v>46023</v>
      </c>
      <c r="F8" s="2">
        <v>3</v>
      </c>
    </row>
    <row r="9" spans="1:6" x14ac:dyDescent="0.3">
      <c r="A9" s="2" t="s">
        <v>75</v>
      </c>
      <c r="B9" s="2" t="s">
        <v>37</v>
      </c>
      <c r="C9" s="2" t="s">
        <v>145</v>
      </c>
      <c r="D9" s="2" t="s">
        <v>144</v>
      </c>
      <c r="E9" s="18">
        <v>46023</v>
      </c>
      <c r="F9" s="2">
        <v>4</v>
      </c>
    </row>
    <row r="10" spans="1:6" x14ac:dyDescent="0.3">
      <c r="A10" t="s">
        <v>76</v>
      </c>
      <c r="B10" s="2" t="s">
        <v>37</v>
      </c>
      <c r="C10" s="2" t="s">
        <v>145</v>
      </c>
      <c r="D10" s="2" t="s">
        <v>144</v>
      </c>
      <c r="E10" s="18">
        <v>46023</v>
      </c>
      <c r="F10" s="2">
        <v>2</v>
      </c>
    </row>
    <row r="11" spans="1:6" x14ac:dyDescent="0.3">
      <c r="A11" t="s">
        <v>77</v>
      </c>
      <c r="B11" s="2" t="s">
        <v>37</v>
      </c>
      <c r="C11" s="2" t="s">
        <v>145</v>
      </c>
      <c r="D11" s="2" t="s">
        <v>144</v>
      </c>
      <c r="E11" s="18">
        <v>46023</v>
      </c>
      <c r="F11" s="2">
        <v>3</v>
      </c>
    </row>
    <row r="12" spans="1:6" x14ac:dyDescent="0.3">
      <c r="A12" t="s">
        <v>66</v>
      </c>
      <c r="B12" s="2" t="s">
        <v>38</v>
      </c>
      <c r="C12" s="2" t="s">
        <v>146</v>
      </c>
      <c r="D12" s="2" t="s">
        <v>144</v>
      </c>
      <c r="E12" s="18">
        <v>46023</v>
      </c>
      <c r="F12" s="2">
        <v>25</v>
      </c>
    </row>
    <row r="13" spans="1:6" x14ac:dyDescent="0.3">
      <c r="A13" t="s">
        <v>67</v>
      </c>
      <c r="B13" s="2" t="s">
        <v>38</v>
      </c>
      <c r="C13" s="2" t="s">
        <v>146</v>
      </c>
      <c r="D13" s="2" t="s">
        <v>144</v>
      </c>
      <c r="E13" s="18">
        <v>46023</v>
      </c>
      <c r="F13" s="2">
        <v>22</v>
      </c>
    </row>
    <row r="14" spans="1:6" x14ac:dyDescent="0.3">
      <c r="A14" t="s">
        <v>68</v>
      </c>
      <c r="B14" s="2" t="s">
        <v>38</v>
      </c>
      <c r="C14" s="2" t="s">
        <v>146</v>
      </c>
      <c r="D14" s="2" t="s">
        <v>144</v>
      </c>
      <c r="E14" s="18">
        <v>46023</v>
      </c>
      <c r="F14" s="2">
        <v>18</v>
      </c>
    </row>
    <row r="15" spans="1:6" x14ac:dyDescent="0.3">
      <c r="A15" t="s">
        <v>69</v>
      </c>
      <c r="B15" s="2" t="s">
        <v>38</v>
      </c>
      <c r="C15" s="2" t="s">
        <v>147</v>
      </c>
      <c r="D15" s="2" t="s">
        <v>144</v>
      </c>
      <c r="E15" s="18">
        <v>46023</v>
      </c>
      <c r="F15" s="2">
        <v>1</v>
      </c>
    </row>
    <row r="16" spans="1:6" x14ac:dyDescent="0.3">
      <c r="A16" t="s">
        <v>70</v>
      </c>
      <c r="B16" s="2" t="s">
        <v>38</v>
      </c>
      <c r="C16" s="2" t="s">
        <v>147</v>
      </c>
      <c r="D16" s="2" t="s">
        <v>144</v>
      </c>
      <c r="E16" s="18">
        <v>46023</v>
      </c>
      <c r="F16" s="2">
        <v>2</v>
      </c>
    </row>
    <row r="17" spans="1:6" x14ac:dyDescent="0.3">
      <c r="A17" t="s">
        <v>71</v>
      </c>
      <c r="B17" s="2" t="s">
        <v>38</v>
      </c>
      <c r="C17" s="2" t="s">
        <v>147</v>
      </c>
      <c r="D17" s="2" t="s">
        <v>144</v>
      </c>
      <c r="E17" s="18">
        <v>46023</v>
      </c>
      <c r="F17" s="2">
        <v>4</v>
      </c>
    </row>
    <row r="18" spans="1:6" x14ac:dyDescent="0.3">
      <c r="A18" t="s">
        <v>72</v>
      </c>
      <c r="B18" s="2" t="s">
        <v>37</v>
      </c>
      <c r="C18" s="2" t="s">
        <v>148</v>
      </c>
      <c r="D18" s="2" t="s">
        <v>144</v>
      </c>
      <c r="E18" s="18">
        <v>46023</v>
      </c>
      <c r="F18" s="2">
        <v>3</v>
      </c>
    </row>
    <row r="19" spans="1:6" x14ac:dyDescent="0.3">
      <c r="A19" t="s">
        <v>73</v>
      </c>
      <c r="B19" s="2" t="s">
        <v>37</v>
      </c>
      <c r="C19" s="2" t="s">
        <v>148</v>
      </c>
      <c r="D19" s="2" t="s">
        <v>144</v>
      </c>
      <c r="E19" s="18">
        <v>46023</v>
      </c>
      <c r="F19" s="2">
        <v>5</v>
      </c>
    </row>
    <row r="20" spans="1:6" x14ac:dyDescent="0.3">
      <c r="A20" t="s">
        <v>67</v>
      </c>
      <c r="B20" s="2" t="s">
        <v>37</v>
      </c>
      <c r="C20" s="2" t="s">
        <v>148</v>
      </c>
      <c r="D20" s="2" t="s">
        <v>144</v>
      </c>
      <c r="E20" s="18">
        <v>46023</v>
      </c>
      <c r="F20" s="2">
        <v>7</v>
      </c>
    </row>
    <row r="21" spans="1:6" x14ac:dyDescent="0.3">
      <c r="A21" t="s">
        <v>66</v>
      </c>
      <c r="B21" s="2" t="s">
        <v>37</v>
      </c>
      <c r="C21" s="2" t="s">
        <v>148</v>
      </c>
      <c r="D21" s="2" t="s">
        <v>144</v>
      </c>
      <c r="E21" s="18">
        <v>46023</v>
      </c>
      <c r="F21" s="2">
        <v>4</v>
      </c>
    </row>
    <row r="22" spans="1:6" x14ac:dyDescent="0.3">
      <c r="A22" t="s">
        <v>73</v>
      </c>
      <c r="B22" s="2" t="s">
        <v>37</v>
      </c>
      <c r="C22" s="2" t="s">
        <v>148</v>
      </c>
      <c r="D22" s="2" t="s">
        <v>144</v>
      </c>
      <c r="E22" s="18">
        <v>46023</v>
      </c>
      <c r="F22" s="2">
        <v>4</v>
      </c>
    </row>
    <row r="23" spans="1:6" x14ac:dyDescent="0.3">
      <c r="A23" t="s">
        <v>72</v>
      </c>
      <c r="B23" s="2" t="s">
        <v>38</v>
      </c>
      <c r="C23" s="2" t="s">
        <v>148</v>
      </c>
      <c r="D23" s="2" t="s">
        <v>144</v>
      </c>
      <c r="E23" s="18">
        <v>46023</v>
      </c>
      <c r="F23" s="2">
        <v>2</v>
      </c>
    </row>
    <row r="24" spans="1:6" x14ac:dyDescent="0.3">
      <c r="A24" t="s">
        <v>73</v>
      </c>
      <c r="B24" s="2" t="s">
        <v>38</v>
      </c>
      <c r="C24" s="2" t="s">
        <v>148</v>
      </c>
      <c r="D24" s="2" t="s">
        <v>144</v>
      </c>
      <c r="E24" s="18">
        <v>46023</v>
      </c>
      <c r="F24" s="2">
        <v>3</v>
      </c>
    </row>
    <row r="25" spans="1:6" x14ac:dyDescent="0.3">
      <c r="A25" t="s">
        <v>71</v>
      </c>
      <c r="B25" s="2" t="s">
        <v>38</v>
      </c>
      <c r="C25" s="2" t="s">
        <v>148</v>
      </c>
      <c r="D25" s="2" t="s">
        <v>144</v>
      </c>
      <c r="E25" s="18">
        <v>46023</v>
      </c>
      <c r="F25" s="2">
        <v>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160B-F5E9-42AA-A42F-1635AE92D776}">
  <dimension ref="A2:A366"/>
  <sheetViews>
    <sheetView topLeftCell="A340" workbookViewId="0">
      <selection sqref="A1:A366"/>
    </sheetView>
  </sheetViews>
  <sheetFormatPr defaultRowHeight="14.4" x14ac:dyDescent="0.3"/>
  <cols>
    <col min="1" max="1" width="27.6640625" style="9" bestFit="1" customWidth="1"/>
  </cols>
  <sheetData>
    <row r="2" spans="1:1" x14ac:dyDescent="0.3">
      <c r="A2" s="8" cm="1">
        <f t="array" ref="A2:A366">_xlfn.SEQUENCE(365, 1, DATE(2026, 1, 1), 1)</f>
        <v>46023</v>
      </c>
    </row>
    <row r="3" spans="1:1" x14ac:dyDescent="0.3">
      <c r="A3" s="9">
        <v>46024</v>
      </c>
    </row>
    <row r="4" spans="1:1" x14ac:dyDescent="0.3">
      <c r="A4" s="9">
        <v>46025</v>
      </c>
    </row>
    <row r="5" spans="1:1" x14ac:dyDescent="0.3">
      <c r="A5" s="9">
        <v>46026</v>
      </c>
    </row>
    <row r="6" spans="1:1" x14ac:dyDescent="0.3">
      <c r="A6" s="9">
        <v>46027</v>
      </c>
    </row>
    <row r="7" spans="1:1" x14ac:dyDescent="0.3">
      <c r="A7" s="9">
        <v>46028</v>
      </c>
    </row>
    <row r="8" spans="1:1" x14ac:dyDescent="0.3">
      <c r="A8" s="9">
        <v>46029</v>
      </c>
    </row>
    <row r="9" spans="1:1" x14ac:dyDescent="0.3">
      <c r="A9" s="9">
        <v>46030</v>
      </c>
    </row>
    <row r="10" spans="1:1" x14ac:dyDescent="0.3">
      <c r="A10" s="9">
        <v>46031</v>
      </c>
    </row>
    <row r="11" spans="1:1" x14ac:dyDescent="0.3">
      <c r="A11" s="9">
        <v>46032</v>
      </c>
    </row>
    <row r="12" spans="1:1" x14ac:dyDescent="0.3">
      <c r="A12" s="9">
        <v>46033</v>
      </c>
    </row>
    <row r="13" spans="1:1" x14ac:dyDescent="0.3">
      <c r="A13" s="9">
        <v>46034</v>
      </c>
    </row>
    <row r="14" spans="1:1" x14ac:dyDescent="0.3">
      <c r="A14" s="9">
        <v>46035</v>
      </c>
    </row>
    <row r="15" spans="1:1" x14ac:dyDescent="0.3">
      <c r="A15" s="9">
        <v>46036</v>
      </c>
    </row>
    <row r="16" spans="1:1" x14ac:dyDescent="0.3">
      <c r="A16" s="9">
        <v>46037</v>
      </c>
    </row>
    <row r="17" spans="1:1" x14ac:dyDescent="0.3">
      <c r="A17" s="9">
        <v>46038</v>
      </c>
    </row>
    <row r="18" spans="1:1" x14ac:dyDescent="0.3">
      <c r="A18" s="9">
        <v>46039</v>
      </c>
    </row>
    <row r="19" spans="1:1" x14ac:dyDescent="0.3">
      <c r="A19" s="9">
        <v>46040</v>
      </c>
    </row>
    <row r="20" spans="1:1" x14ac:dyDescent="0.3">
      <c r="A20" s="9">
        <v>46041</v>
      </c>
    </row>
    <row r="21" spans="1:1" x14ac:dyDescent="0.3">
      <c r="A21" s="9">
        <v>46042</v>
      </c>
    </row>
    <row r="22" spans="1:1" x14ac:dyDescent="0.3">
      <c r="A22" s="9">
        <v>46043</v>
      </c>
    </row>
    <row r="23" spans="1:1" x14ac:dyDescent="0.3">
      <c r="A23" s="9">
        <v>46044</v>
      </c>
    </row>
    <row r="24" spans="1:1" x14ac:dyDescent="0.3">
      <c r="A24" s="9">
        <v>46045</v>
      </c>
    </row>
    <row r="25" spans="1:1" x14ac:dyDescent="0.3">
      <c r="A25" s="9">
        <v>46046</v>
      </c>
    </row>
    <row r="26" spans="1:1" x14ac:dyDescent="0.3">
      <c r="A26" s="9">
        <v>46047</v>
      </c>
    </row>
    <row r="27" spans="1:1" x14ac:dyDescent="0.3">
      <c r="A27" s="9">
        <v>46048</v>
      </c>
    </row>
    <row r="28" spans="1:1" x14ac:dyDescent="0.3">
      <c r="A28" s="9">
        <v>46049</v>
      </c>
    </row>
    <row r="29" spans="1:1" x14ac:dyDescent="0.3">
      <c r="A29" s="9">
        <v>46050</v>
      </c>
    </row>
    <row r="30" spans="1:1" x14ac:dyDescent="0.3">
      <c r="A30" s="9">
        <v>46051</v>
      </c>
    </row>
    <row r="31" spans="1:1" x14ac:dyDescent="0.3">
      <c r="A31" s="9">
        <v>46052</v>
      </c>
    </row>
    <row r="32" spans="1:1" x14ac:dyDescent="0.3">
      <c r="A32" s="9">
        <v>46053</v>
      </c>
    </row>
    <row r="33" spans="1:1" x14ac:dyDescent="0.3">
      <c r="A33" s="9">
        <v>46054</v>
      </c>
    </row>
    <row r="34" spans="1:1" x14ac:dyDescent="0.3">
      <c r="A34" s="9">
        <v>46055</v>
      </c>
    </row>
    <row r="35" spans="1:1" x14ac:dyDescent="0.3">
      <c r="A35" s="9">
        <v>46056</v>
      </c>
    </row>
    <row r="36" spans="1:1" x14ac:dyDescent="0.3">
      <c r="A36" s="9">
        <v>46057</v>
      </c>
    </row>
    <row r="37" spans="1:1" x14ac:dyDescent="0.3">
      <c r="A37" s="9">
        <v>46058</v>
      </c>
    </row>
    <row r="38" spans="1:1" x14ac:dyDescent="0.3">
      <c r="A38" s="9">
        <v>46059</v>
      </c>
    </row>
    <row r="39" spans="1:1" x14ac:dyDescent="0.3">
      <c r="A39" s="9">
        <v>46060</v>
      </c>
    </row>
    <row r="40" spans="1:1" x14ac:dyDescent="0.3">
      <c r="A40" s="9">
        <v>46061</v>
      </c>
    </row>
    <row r="41" spans="1:1" x14ac:dyDescent="0.3">
      <c r="A41" s="9">
        <v>46062</v>
      </c>
    </row>
    <row r="42" spans="1:1" x14ac:dyDescent="0.3">
      <c r="A42" s="9">
        <v>46063</v>
      </c>
    </row>
    <row r="43" spans="1:1" x14ac:dyDescent="0.3">
      <c r="A43" s="9">
        <v>46064</v>
      </c>
    </row>
    <row r="44" spans="1:1" x14ac:dyDescent="0.3">
      <c r="A44" s="9">
        <v>46065</v>
      </c>
    </row>
    <row r="45" spans="1:1" x14ac:dyDescent="0.3">
      <c r="A45" s="9">
        <v>46066</v>
      </c>
    </row>
    <row r="46" spans="1:1" x14ac:dyDescent="0.3">
      <c r="A46" s="9">
        <v>46067</v>
      </c>
    </row>
    <row r="47" spans="1:1" x14ac:dyDescent="0.3">
      <c r="A47" s="9">
        <v>46068</v>
      </c>
    </row>
    <row r="48" spans="1:1" x14ac:dyDescent="0.3">
      <c r="A48" s="9">
        <v>46069</v>
      </c>
    </row>
    <row r="49" spans="1:1" x14ac:dyDescent="0.3">
      <c r="A49" s="9">
        <v>46070</v>
      </c>
    </row>
    <row r="50" spans="1:1" x14ac:dyDescent="0.3">
      <c r="A50" s="9">
        <v>46071</v>
      </c>
    </row>
    <row r="51" spans="1:1" x14ac:dyDescent="0.3">
      <c r="A51" s="9">
        <v>46072</v>
      </c>
    </row>
    <row r="52" spans="1:1" x14ac:dyDescent="0.3">
      <c r="A52" s="9">
        <v>46073</v>
      </c>
    </row>
    <row r="53" spans="1:1" x14ac:dyDescent="0.3">
      <c r="A53" s="9">
        <v>46074</v>
      </c>
    </row>
    <row r="54" spans="1:1" x14ac:dyDescent="0.3">
      <c r="A54" s="9">
        <v>46075</v>
      </c>
    </row>
    <row r="55" spans="1:1" x14ac:dyDescent="0.3">
      <c r="A55" s="9">
        <v>46076</v>
      </c>
    </row>
    <row r="56" spans="1:1" x14ac:dyDescent="0.3">
      <c r="A56" s="9">
        <v>46077</v>
      </c>
    </row>
    <row r="57" spans="1:1" x14ac:dyDescent="0.3">
      <c r="A57" s="9">
        <v>46078</v>
      </c>
    </row>
    <row r="58" spans="1:1" x14ac:dyDescent="0.3">
      <c r="A58" s="9">
        <v>46079</v>
      </c>
    </row>
    <row r="59" spans="1:1" x14ac:dyDescent="0.3">
      <c r="A59" s="9">
        <v>46080</v>
      </c>
    </row>
    <row r="60" spans="1:1" x14ac:dyDescent="0.3">
      <c r="A60" s="9">
        <v>46081</v>
      </c>
    </row>
    <row r="61" spans="1:1" x14ac:dyDescent="0.3">
      <c r="A61" s="9">
        <v>46082</v>
      </c>
    </row>
    <row r="62" spans="1:1" x14ac:dyDescent="0.3">
      <c r="A62" s="9">
        <v>46083</v>
      </c>
    </row>
    <row r="63" spans="1:1" x14ac:dyDescent="0.3">
      <c r="A63" s="9">
        <v>46084</v>
      </c>
    </row>
    <row r="64" spans="1:1" x14ac:dyDescent="0.3">
      <c r="A64" s="9">
        <v>46085</v>
      </c>
    </row>
    <row r="65" spans="1:1" x14ac:dyDescent="0.3">
      <c r="A65" s="9">
        <v>46086</v>
      </c>
    </row>
    <row r="66" spans="1:1" x14ac:dyDescent="0.3">
      <c r="A66" s="9">
        <v>46087</v>
      </c>
    </row>
    <row r="67" spans="1:1" x14ac:dyDescent="0.3">
      <c r="A67" s="9">
        <v>46088</v>
      </c>
    </row>
    <row r="68" spans="1:1" x14ac:dyDescent="0.3">
      <c r="A68" s="9">
        <v>46089</v>
      </c>
    </row>
    <row r="69" spans="1:1" x14ac:dyDescent="0.3">
      <c r="A69" s="9">
        <v>46090</v>
      </c>
    </row>
    <row r="70" spans="1:1" x14ac:dyDescent="0.3">
      <c r="A70" s="9">
        <v>46091</v>
      </c>
    </row>
    <row r="71" spans="1:1" x14ac:dyDescent="0.3">
      <c r="A71" s="9">
        <v>46092</v>
      </c>
    </row>
    <row r="72" spans="1:1" x14ac:dyDescent="0.3">
      <c r="A72" s="9">
        <v>46093</v>
      </c>
    </row>
    <row r="73" spans="1:1" x14ac:dyDescent="0.3">
      <c r="A73" s="9">
        <v>46094</v>
      </c>
    </row>
    <row r="74" spans="1:1" x14ac:dyDescent="0.3">
      <c r="A74" s="9">
        <v>46095</v>
      </c>
    </row>
    <row r="75" spans="1:1" x14ac:dyDescent="0.3">
      <c r="A75" s="9">
        <v>46096</v>
      </c>
    </row>
    <row r="76" spans="1:1" x14ac:dyDescent="0.3">
      <c r="A76" s="9">
        <v>46097</v>
      </c>
    </row>
    <row r="77" spans="1:1" x14ac:dyDescent="0.3">
      <c r="A77" s="9">
        <v>46098</v>
      </c>
    </row>
    <row r="78" spans="1:1" x14ac:dyDescent="0.3">
      <c r="A78" s="9">
        <v>46099</v>
      </c>
    </row>
    <row r="79" spans="1:1" x14ac:dyDescent="0.3">
      <c r="A79" s="9">
        <v>46100</v>
      </c>
    </row>
    <row r="80" spans="1:1" x14ac:dyDescent="0.3">
      <c r="A80" s="9">
        <v>46101</v>
      </c>
    </row>
    <row r="81" spans="1:1" x14ac:dyDescent="0.3">
      <c r="A81" s="9">
        <v>46102</v>
      </c>
    </row>
    <row r="82" spans="1:1" x14ac:dyDescent="0.3">
      <c r="A82" s="9">
        <v>46103</v>
      </c>
    </row>
    <row r="83" spans="1:1" x14ac:dyDescent="0.3">
      <c r="A83" s="9">
        <v>46104</v>
      </c>
    </row>
    <row r="84" spans="1:1" x14ac:dyDescent="0.3">
      <c r="A84" s="9">
        <v>46105</v>
      </c>
    </row>
    <row r="85" spans="1:1" x14ac:dyDescent="0.3">
      <c r="A85" s="9">
        <v>46106</v>
      </c>
    </row>
    <row r="86" spans="1:1" x14ac:dyDescent="0.3">
      <c r="A86" s="9">
        <v>46107</v>
      </c>
    </row>
    <row r="87" spans="1:1" x14ac:dyDescent="0.3">
      <c r="A87" s="9">
        <v>46108</v>
      </c>
    </row>
    <row r="88" spans="1:1" x14ac:dyDescent="0.3">
      <c r="A88" s="9">
        <v>46109</v>
      </c>
    </row>
    <row r="89" spans="1:1" x14ac:dyDescent="0.3">
      <c r="A89" s="9">
        <v>46110</v>
      </c>
    </row>
    <row r="90" spans="1:1" x14ac:dyDescent="0.3">
      <c r="A90" s="9">
        <v>46111</v>
      </c>
    </row>
    <row r="91" spans="1:1" x14ac:dyDescent="0.3">
      <c r="A91" s="9">
        <v>46112</v>
      </c>
    </row>
    <row r="92" spans="1:1" x14ac:dyDescent="0.3">
      <c r="A92" s="9">
        <v>46113</v>
      </c>
    </row>
    <row r="93" spans="1:1" x14ac:dyDescent="0.3">
      <c r="A93" s="9">
        <v>46114</v>
      </c>
    </row>
    <row r="94" spans="1:1" x14ac:dyDescent="0.3">
      <c r="A94" s="9">
        <v>46115</v>
      </c>
    </row>
    <row r="95" spans="1:1" x14ac:dyDescent="0.3">
      <c r="A95" s="9">
        <v>46116</v>
      </c>
    </row>
    <row r="96" spans="1:1" x14ac:dyDescent="0.3">
      <c r="A96" s="9">
        <v>46117</v>
      </c>
    </row>
    <row r="97" spans="1:1" x14ac:dyDescent="0.3">
      <c r="A97" s="9">
        <v>46118</v>
      </c>
    </row>
    <row r="98" spans="1:1" x14ac:dyDescent="0.3">
      <c r="A98" s="9">
        <v>46119</v>
      </c>
    </row>
    <row r="99" spans="1:1" x14ac:dyDescent="0.3">
      <c r="A99" s="9">
        <v>46120</v>
      </c>
    </row>
    <row r="100" spans="1:1" x14ac:dyDescent="0.3">
      <c r="A100" s="9">
        <v>46121</v>
      </c>
    </row>
    <row r="101" spans="1:1" x14ac:dyDescent="0.3">
      <c r="A101" s="9">
        <v>46122</v>
      </c>
    </row>
    <row r="102" spans="1:1" x14ac:dyDescent="0.3">
      <c r="A102" s="9">
        <v>46123</v>
      </c>
    </row>
    <row r="103" spans="1:1" x14ac:dyDescent="0.3">
      <c r="A103" s="9">
        <v>46124</v>
      </c>
    </row>
    <row r="104" spans="1:1" x14ac:dyDescent="0.3">
      <c r="A104" s="9">
        <v>46125</v>
      </c>
    </row>
    <row r="105" spans="1:1" x14ac:dyDescent="0.3">
      <c r="A105" s="9">
        <v>46126</v>
      </c>
    </row>
    <row r="106" spans="1:1" x14ac:dyDescent="0.3">
      <c r="A106" s="9">
        <v>46127</v>
      </c>
    </row>
    <row r="107" spans="1:1" x14ac:dyDescent="0.3">
      <c r="A107" s="9">
        <v>46128</v>
      </c>
    </row>
    <row r="108" spans="1:1" x14ac:dyDescent="0.3">
      <c r="A108" s="9">
        <v>46129</v>
      </c>
    </row>
    <row r="109" spans="1:1" x14ac:dyDescent="0.3">
      <c r="A109" s="9">
        <v>46130</v>
      </c>
    </row>
    <row r="110" spans="1:1" x14ac:dyDescent="0.3">
      <c r="A110" s="9">
        <v>46131</v>
      </c>
    </row>
    <row r="111" spans="1:1" x14ac:dyDescent="0.3">
      <c r="A111" s="9">
        <v>46132</v>
      </c>
    </row>
    <row r="112" spans="1:1" x14ac:dyDescent="0.3">
      <c r="A112" s="9">
        <v>46133</v>
      </c>
    </row>
    <row r="113" spans="1:1" x14ac:dyDescent="0.3">
      <c r="A113" s="9">
        <v>46134</v>
      </c>
    </row>
    <row r="114" spans="1:1" x14ac:dyDescent="0.3">
      <c r="A114" s="9">
        <v>46135</v>
      </c>
    </row>
    <row r="115" spans="1:1" x14ac:dyDescent="0.3">
      <c r="A115" s="9">
        <v>46136</v>
      </c>
    </row>
    <row r="116" spans="1:1" x14ac:dyDescent="0.3">
      <c r="A116" s="9">
        <v>46137</v>
      </c>
    </row>
    <row r="117" spans="1:1" x14ac:dyDescent="0.3">
      <c r="A117" s="9">
        <v>46138</v>
      </c>
    </row>
    <row r="118" spans="1:1" x14ac:dyDescent="0.3">
      <c r="A118" s="9">
        <v>46139</v>
      </c>
    </row>
    <row r="119" spans="1:1" x14ac:dyDescent="0.3">
      <c r="A119" s="9">
        <v>46140</v>
      </c>
    </row>
    <row r="120" spans="1:1" x14ac:dyDescent="0.3">
      <c r="A120" s="9">
        <v>46141</v>
      </c>
    </row>
    <row r="121" spans="1:1" x14ac:dyDescent="0.3">
      <c r="A121" s="9">
        <v>46142</v>
      </c>
    </row>
    <row r="122" spans="1:1" x14ac:dyDescent="0.3">
      <c r="A122" s="9">
        <v>46143</v>
      </c>
    </row>
    <row r="123" spans="1:1" x14ac:dyDescent="0.3">
      <c r="A123" s="9">
        <v>46144</v>
      </c>
    </row>
    <row r="124" spans="1:1" x14ac:dyDescent="0.3">
      <c r="A124" s="9">
        <v>46145</v>
      </c>
    </row>
    <row r="125" spans="1:1" x14ac:dyDescent="0.3">
      <c r="A125" s="9">
        <v>46146</v>
      </c>
    </row>
    <row r="126" spans="1:1" x14ac:dyDescent="0.3">
      <c r="A126" s="9">
        <v>46147</v>
      </c>
    </row>
    <row r="127" spans="1:1" x14ac:dyDescent="0.3">
      <c r="A127" s="9">
        <v>46148</v>
      </c>
    </row>
    <row r="128" spans="1:1" x14ac:dyDescent="0.3">
      <c r="A128" s="9">
        <v>46149</v>
      </c>
    </row>
    <row r="129" spans="1:1" x14ac:dyDescent="0.3">
      <c r="A129" s="9">
        <v>46150</v>
      </c>
    </row>
    <row r="130" spans="1:1" x14ac:dyDescent="0.3">
      <c r="A130" s="9">
        <v>46151</v>
      </c>
    </row>
    <row r="131" spans="1:1" x14ac:dyDescent="0.3">
      <c r="A131" s="9">
        <v>46152</v>
      </c>
    </row>
    <row r="132" spans="1:1" x14ac:dyDescent="0.3">
      <c r="A132" s="9">
        <v>46153</v>
      </c>
    </row>
    <row r="133" spans="1:1" x14ac:dyDescent="0.3">
      <c r="A133" s="9">
        <v>46154</v>
      </c>
    </row>
    <row r="134" spans="1:1" x14ac:dyDescent="0.3">
      <c r="A134" s="9">
        <v>46155</v>
      </c>
    </row>
    <row r="135" spans="1:1" x14ac:dyDescent="0.3">
      <c r="A135" s="9">
        <v>46156</v>
      </c>
    </row>
    <row r="136" spans="1:1" x14ac:dyDescent="0.3">
      <c r="A136" s="9">
        <v>46157</v>
      </c>
    </row>
    <row r="137" spans="1:1" x14ac:dyDescent="0.3">
      <c r="A137" s="9">
        <v>46158</v>
      </c>
    </row>
    <row r="138" spans="1:1" x14ac:dyDescent="0.3">
      <c r="A138" s="9">
        <v>46159</v>
      </c>
    </row>
    <row r="139" spans="1:1" x14ac:dyDescent="0.3">
      <c r="A139" s="9">
        <v>46160</v>
      </c>
    </row>
    <row r="140" spans="1:1" x14ac:dyDescent="0.3">
      <c r="A140" s="9">
        <v>46161</v>
      </c>
    </row>
    <row r="141" spans="1:1" x14ac:dyDescent="0.3">
      <c r="A141" s="9">
        <v>46162</v>
      </c>
    </row>
    <row r="142" spans="1:1" x14ac:dyDescent="0.3">
      <c r="A142" s="9">
        <v>46163</v>
      </c>
    </row>
    <row r="143" spans="1:1" x14ac:dyDescent="0.3">
      <c r="A143" s="9">
        <v>46164</v>
      </c>
    </row>
    <row r="144" spans="1:1" x14ac:dyDescent="0.3">
      <c r="A144" s="9">
        <v>46165</v>
      </c>
    </row>
    <row r="145" spans="1:1" x14ac:dyDescent="0.3">
      <c r="A145" s="9">
        <v>46166</v>
      </c>
    </row>
    <row r="146" spans="1:1" x14ac:dyDescent="0.3">
      <c r="A146" s="9">
        <v>46167</v>
      </c>
    </row>
    <row r="147" spans="1:1" x14ac:dyDescent="0.3">
      <c r="A147" s="9">
        <v>46168</v>
      </c>
    </row>
    <row r="148" spans="1:1" x14ac:dyDescent="0.3">
      <c r="A148" s="9">
        <v>46169</v>
      </c>
    </row>
    <row r="149" spans="1:1" x14ac:dyDescent="0.3">
      <c r="A149" s="9">
        <v>46170</v>
      </c>
    </row>
    <row r="150" spans="1:1" x14ac:dyDescent="0.3">
      <c r="A150" s="9">
        <v>46171</v>
      </c>
    </row>
    <row r="151" spans="1:1" x14ac:dyDescent="0.3">
      <c r="A151" s="9">
        <v>46172</v>
      </c>
    </row>
    <row r="152" spans="1:1" x14ac:dyDescent="0.3">
      <c r="A152" s="9">
        <v>46173</v>
      </c>
    </row>
    <row r="153" spans="1:1" x14ac:dyDescent="0.3">
      <c r="A153" s="9">
        <v>46174</v>
      </c>
    </row>
    <row r="154" spans="1:1" x14ac:dyDescent="0.3">
      <c r="A154" s="9">
        <v>46175</v>
      </c>
    </row>
    <row r="155" spans="1:1" x14ac:dyDescent="0.3">
      <c r="A155" s="9">
        <v>46176</v>
      </c>
    </row>
    <row r="156" spans="1:1" x14ac:dyDescent="0.3">
      <c r="A156" s="9">
        <v>46177</v>
      </c>
    </row>
    <row r="157" spans="1:1" x14ac:dyDescent="0.3">
      <c r="A157" s="9">
        <v>46178</v>
      </c>
    </row>
    <row r="158" spans="1:1" x14ac:dyDescent="0.3">
      <c r="A158" s="9">
        <v>46179</v>
      </c>
    </row>
    <row r="159" spans="1:1" x14ac:dyDescent="0.3">
      <c r="A159" s="9">
        <v>46180</v>
      </c>
    </row>
    <row r="160" spans="1:1" x14ac:dyDescent="0.3">
      <c r="A160" s="9">
        <v>46181</v>
      </c>
    </row>
    <row r="161" spans="1:1" x14ac:dyDescent="0.3">
      <c r="A161" s="9">
        <v>46182</v>
      </c>
    </row>
    <row r="162" spans="1:1" x14ac:dyDescent="0.3">
      <c r="A162" s="9">
        <v>46183</v>
      </c>
    </row>
    <row r="163" spans="1:1" x14ac:dyDescent="0.3">
      <c r="A163" s="9">
        <v>46184</v>
      </c>
    </row>
    <row r="164" spans="1:1" x14ac:dyDescent="0.3">
      <c r="A164" s="9">
        <v>46185</v>
      </c>
    </row>
    <row r="165" spans="1:1" x14ac:dyDescent="0.3">
      <c r="A165" s="9">
        <v>46186</v>
      </c>
    </row>
    <row r="166" spans="1:1" x14ac:dyDescent="0.3">
      <c r="A166" s="9">
        <v>46187</v>
      </c>
    </row>
    <row r="167" spans="1:1" x14ac:dyDescent="0.3">
      <c r="A167" s="9">
        <v>46188</v>
      </c>
    </row>
    <row r="168" spans="1:1" x14ac:dyDescent="0.3">
      <c r="A168" s="9">
        <v>46189</v>
      </c>
    </row>
    <row r="169" spans="1:1" x14ac:dyDescent="0.3">
      <c r="A169" s="9">
        <v>46190</v>
      </c>
    </row>
    <row r="170" spans="1:1" x14ac:dyDescent="0.3">
      <c r="A170" s="9">
        <v>46191</v>
      </c>
    </row>
    <row r="171" spans="1:1" x14ac:dyDescent="0.3">
      <c r="A171" s="9">
        <v>46192</v>
      </c>
    </row>
    <row r="172" spans="1:1" x14ac:dyDescent="0.3">
      <c r="A172" s="9">
        <v>46193</v>
      </c>
    </row>
    <row r="173" spans="1:1" x14ac:dyDescent="0.3">
      <c r="A173" s="9">
        <v>46194</v>
      </c>
    </row>
    <row r="174" spans="1:1" x14ac:dyDescent="0.3">
      <c r="A174" s="9">
        <v>46195</v>
      </c>
    </row>
    <row r="175" spans="1:1" x14ac:dyDescent="0.3">
      <c r="A175" s="9">
        <v>46196</v>
      </c>
    </row>
    <row r="176" spans="1:1" x14ac:dyDescent="0.3">
      <c r="A176" s="9">
        <v>46197</v>
      </c>
    </row>
    <row r="177" spans="1:1" x14ac:dyDescent="0.3">
      <c r="A177" s="9">
        <v>46198</v>
      </c>
    </row>
    <row r="178" spans="1:1" x14ac:dyDescent="0.3">
      <c r="A178" s="9">
        <v>46199</v>
      </c>
    </row>
    <row r="179" spans="1:1" x14ac:dyDescent="0.3">
      <c r="A179" s="9">
        <v>46200</v>
      </c>
    </row>
    <row r="180" spans="1:1" x14ac:dyDescent="0.3">
      <c r="A180" s="9">
        <v>46201</v>
      </c>
    </row>
    <row r="181" spans="1:1" x14ac:dyDescent="0.3">
      <c r="A181" s="9">
        <v>46202</v>
      </c>
    </row>
    <row r="182" spans="1:1" x14ac:dyDescent="0.3">
      <c r="A182" s="9">
        <v>46203</v>
      </c>
    </row>
    <row r="183" spans="1:1" x14ac:dyDescent="0.3">
      <c r="A183" s="9">
        <v>46204</v>
      </c>
    </row>
    <row r="184" spans="1:1" x14ac:dyDescent="0.3">
      <c r="A184" s="9">
        <v>46205</v>
      </c>
    </row>
    <row r="185" spans="1:1" x14ac:dyDescent="0.3">
      <c r="A185" s="9">
        <v>46206</v>
      </c>
    </row>
    <row r="186" spans="1:1" x14ac:dyDescent="0.3">
      <c r="A186" s="9">
        <v>46207</v>
      </c>
    </row>
    <row r="187" spans="1:1" x14ac:dyDescent="0.3">
      <c r="A187" s="9">
        <v>46208</v>
      </c>
    </row>
    <row r="188" spans="1:1" x14ac:dyDescent="0.3">
      <c r="A188" s="9">
        <v>46209</v>
      </c>
    </row>
    <row r="189" spans="1:1" x14ac:dyDescent="0.3">
      <c r="A189" s="9">
        <v>46210</v>
      </c>
    </row>
    <row r="190" spans="1:1" x14ac:dyDescent="0.3">
      <c r="A190" s="9">
        <v>46211</v>
      </c>
    </row>
    <row r="191" spans="1:1" x14ac:dyDescent="0.3">
      <c r="A191" s="9">
        <v>46212</v>
      </c>
    </row>
    <row r="192" spans="1:1" x14ac:dyDescent="0.3">
      <c r="A192" s="9">
        <v>46213</v>
      </c>
    </row>
    <row r="193" spans="1:1" x14ac:dyDescent="0.3">
      <c r="A193" s="9">
        <v>46214</v>
      </c>
    </row>
    <row r="194" spans="1:1" x14ac:dyDescent="0.3">
      <c r="A194" s="9">
        <v>46215</v>
      </c>
    </row>
    <row r="195" spans="1:1" x14ac:dyDescent="0.3">
      <c r="A195" s="9">
        <v>46216</v>
      </c>
    </row>
    <row r="196" spans="1:1" x14ac:dyDescent="0.3">
      <c r="A196" s="9">
        <v>46217</v>
      </c>
    </row>
    <row r="197" spans="1:1" x14ac:dyDescent="0.3">
      <c r="A197" s="9">
        <v>46218</v>
      </c>
    </row>
    <row r="198" spans="1:1" x14ac:dyDescent="0.3">
      <c r="A198" s="9">
        <v>46219</v>
      </c>
    </row>
    <row r="199" spans="1:1" x14ac:dyDescent="0.3">
      <c r="A199" s="9">
        <v>46220</v>
      </c>
    </row>
    <row r="200" spans="1:1" x14ac:dyDescent="0.3">
      <c r="A200" s="9">
        <v>46221</v>
      </c>
    </row>
    <row r="201" spans="1:1" x14ac:dyDescent="0.3">
      <c r="A201" s="9">
        <v>46222</v>
      </c>
    </row>
    <row r="202" spans="1:1" x14ac:dyDescent="0.3">
      <c r="A202" s="9">
        <v>46223</v>
      </c>
    </row>
    <row r="203" spans="1:1" x14ac:dyDescent="0.3">
      <c r="A203" s="9">
        <v>46224</v>
      </c>
    </row>
    <row r="204" spans="1:1" x14ac:dyDescent="0.3">
      <c r="A204" s="9">
        <v>46225</v>
      </c>
    </row>
    <row r="205" spans="1:1" x14ac:dyDescent="0.3">
      <c r="A205" s="9">
        <v>46226</v>
      </c>
    </row>
    <row r="206" spans="1:1" x14ac:dyDescent="0.3">
      <c r="A206" s="9">
        <v>46227</v>
      </c>
    </row>
    <row r="207" spans="1:1" x14ac:dyDescent="0.3">
      <c r="A207" s="9">
        <v>46228</v>
      </c>
    </row>
    <row r="208" spans="1:1" x14ac:dyDescent="0.3">
      <c r="A208" s="9">
        <v>46229</v>
      </c>
    </row>
    <row r="209" spans="1:1" x14ac:dyDescent="0.3">
      <c r="A209" s="9">
        <v>46230</v>
      </c>
    </row>
    <row r="210" spans="1:1" x14ac:dyDescent="0.3">
      <c r="A210" s="9">
        <v>46231</v>
      </c>
    </row>
    <row r="211" spans="1:1" x14ac:dyDescent="0.3">
      <c r="A211" s="9">
        <v>46232</v>
      </c>
    </row>
    <row r="212" spans="1:1" x14ac:dyDescent="0.3">
      <c r="A212" s="9">
        <v>46233</v>
      </c>
    </row>
    <row r="213" spans="1:1" x14ac:dyDescent="0.3">
      <c r="A213" s="9">
        <v>46234</v>
      </c>
    </row>
    <row r="214" spans="1:1" x14ac:dyDescent="0.3">
      <c r="A214" s="9">
        <v>46235</v>
      </c>
    </row>
    <row r="215" spans="1:1" x14ac:dyDescent="0.3">
      <c r="A215" s="9">
        <v>46236</v>
      </c>
    </row>
    <row r="216" spans="1:1" x14ac:dyDescent="0.3">
      <c r="A216" s="9">
        <v>46237</v>
      </c>
    </row>
    <row r="217" spans="1:1" x14ac:dyDescent="0.3">
      <c r="A217" s="9">
        <v>46238</v>
      </c>
    </row>
    <row r="218" spans="1:1" x14ac:dyDescent="0.3">
      <c r="A218" s="9">
        <v>46239</v>
      </c>
    </row>
    <row r="219" spans="1:1" x14ac:dyDescent="0.3">
      <c r="A219" s="9">
        <v>46240</v>
      </c>
    </row>
    <row r="220" spans="1:1" x14ac:dyDescent="0.3">
      <c r="A220" s="9">
        <v>46241</v>
      </c>
    </row>
    <row r="221" spans="1:1" x14ac:dyDescent="0.3">
      <c r="A221" s="9">
        <v>46242</v>
      </c>
    </row>
    <row r="222" spans="1:1" x14ac:dyDescent="0.3">
      <c r="A222" s="9">
        <v>46243</v>
      </c>
    </row>
    <row r="223" spans="1:1" x14ac:dyDescent="0.3">
      <c r="A223" s="9">
        <v>46244</v>
      </c>
    </row>
    <row r="224" spans="1:1" x14ac:dyDescent="0.3">
      <c r="A224" s="9">
        <v>46245</v>
      </c>
    </row>
    <row r="225" spans="1:1" x14ac:dyDescent="0.3">
      <c r="A225" s="9">
        <v>46246</v>
      </c>
    </row>
    <row r="226" spans="1:1" x14ac:dyDescent="0.3">
      <c r="A226" s="9">
        <v>46247</v>
      </c>
    </row>
    <row r="227" spans="1:1" x14ac:dyDescent="0.3">
      <c r="A227" s="9">
        <v>46248</v>
      </c>
    </row>
    <row r="228" spans="1:1" x14ac:dyDescent="0.3">
      <c r="A228" s="9">
        <v>46249</v>
      </c>
    </row>
    <row r="229" spans="1:1" x14ac:dyDescent="0.3">
      <c r="A229" s="9">
        <v>46250</v>
      </c>
    </row>
    <row r="230" spans="1:1" x14ac:dyDescent="0.3">
      <c r="A230" s="9">
        <v>46251</v>
      </c>
    </row>
    <row r="231" spans="1:1" x14ac:dyDescent="0.3">
      <c r="A231" s="9">
        <v>46252</v>
      </c>
    </row>
    <row r="232" spans="1:1" x14ac:dyDescent="0.3">
      <c r="A232" s="9">
        <v>46253</v>
      </c>
    </row>
    <row r="233" spans="1:1" x14ac:dyDescent="0.3">
      <c r="A233" s="9">
        <v>46254</v>
      </c>
    </row>
    <row r="234" spans="1:1" x14ac:dyDescent="0.3">
      <c r="A234" s="9">
        <v>46255</v>
      </c>
    </row>
    <row r="235" spans="1:1" x14ac:dyDescent="0.3">
      <c r="A235" s="9">
        <v>46256</v>
      </c>
    </row>
    <row r="236" spans="1:1" x14ac:dyDescent="0.3">
      <c r="A236" s="9">
        <v>46257</v>
      </c>
    </row>
    <row r="237" spans="1:1" x14ac:dyDescent="0.3">
      <c r="A237" s="9">
        <v>46258</v>
      </c>
    </row>
    <row r="238" spans="1:1" x14ac:dyDescent="0.3">
      <c r="A238" s="9">
        <v>46259</v>
      </c>
    </row>
    <row r="239" spans="1:1" x14ac:dyDescent="0.3">
      <c r="A239" s="9">
        <v>46260</v>
      </c>
    </row>
    <row r="240" spans="1:1" x14ac:dyDescent="0.3">
      <c r="A240" s="9">
        <v>46261</v>
      </c>
    </row>
    <row r="241" spans="1:1" x14ac:dyDescent="0.3">
      <c r="A241" s="9">
        <v>46262</v>
      </c>
    </row>
    <row r="242" spans="1:1" x14ac:dyDescent="0.3">
      <c r="A242" s="9">
        <v>46263</v>
      </c>
    </row>
    <row r="243" spans="1:1" x14ac:dyDescent="0.3">
      <c r="A243" s="9">
        <v>46264</v>
      </c>
    </row>
    <row r="244" spans="1:1" x14ac:dyDescent="0.3">
      <c r="A244" s="9">
        <v>46265</v>
      </c>
    </row>
    <row r="245" spans="1:1" x14ac:dyDescent="0.3">
      <c r="A245" s="9">
        <v>46266</v>
      </c>
    </row>
    <row r="246" spans="1:1" x14ac:dyDescent="0.3">
      <c r="A246" s="9">
        <v>46267</v>
      </c>
    </row>
    <row r="247" spans="1:1" x14ac:dyDescent="0.3">
      <c r="A247" s="9">
        <v>46268</v>
      </c>
    </row>
    <row r="248" spans="1:1" x14ac:dyDescent="0.3">
      <c r="A248" s="9">
        <v>46269</v>
      </c>
    </row>
    <row r="249" spans="1:1" x14ac:dyDescent="0.3">
      <c r="A249" s="9">
        <v>46270</v>
      </c>
    </row>
    <row r="250" spans="1:1" x14ac:dyDescent="0.3">
      <c r="A250" s="9">
        <v>46271</v>
      </c>
    </row>
    <row r="251" spans="1:1" x14ac:dyDescent="0.3">
      <c r="A251" s="9">
        <v>46272</v>
      </c>
    </row>
    <row r="252" spans="1:1" x14ac:dyDescent="0.3">
      <c r="A252" s="9">
        <v>46273</v>
      </c>
    </row>
    <row r="253" spans="1:1" x14ac:dyDescent="0.3">
      <c r="A253" s="9">
        <v>46274</v>
      </c>
    </row>
    <row r="254" spans="1:1" x14ac:dyDescent="0.3">
      <c r="A254" s="9">
        <v>46275</v>
      </c>
    </row>
    <row r="255" spans="1:1" x14ac:dyDescent="0.3">
      <c r="A255" s="9">
        <v>46276</v>
      </c>
    </row>
    <row r="256" spans="1:1" x14ac:dyDescent="0.3">
      <c r="A256" s="9">
        <v>46277</v>
      </c>
    </row>
    <row r="257" spans="1:1" x14ac:dyDescent="0.3">
      <c r="A257" s="9">
        <v>46278</v>
      </c>
    </row>
    <row r="258" spans="1:1" x14ac:dyDescent="0.3">
      <c r="A258" s="9">
        <v>46279</v>
      </c>
    </row>
    <row r="259" spans="1:1" x14ac:dyDescent="0.3">
      <c r="A259" s="9">
        <v>46280</v>
      </c>
    </row>
    <row r="260" spans="1:1" x14ac:dyDescent="0.3">
      <c r="A260" s="9">
        <v>46281</v>
      </c>
    </row>
    <row r="261" spans="1:1" x14ac:dyDescent="0.3">
      <c r="A261" s="9">
        <v>46282</v>
      </c>
    </row>
    <row r="262" spans="1:1" x14ac:dyDescent="0.3">
      <c r="A262" s="9">
        <v>46283</v>
      </c>
    </row>
    <row r="263" spans="1:1" x14ac:dyDescent="0.3">
      <c r="A263" s="9">
        <v>46284</v>
      </c>
    </row>
    <row r="264" spans="1:1" x14ac:dyDescent="0.3">
      <c r="A264" s="9">
        <v>46285</v>
      </c>
    </row>
    <row r="265" spans="1:1" x14ac:dyDescent="0.3">
      <c r="A265" s="9">
        <v>46286</v>
      </c>
    </row>
    <row r="266" spans="1:1" x14ac:dyDescent="0.3">
      <c r="A266" s="9">
        <v>46287</v>
      </c>
    </row>
    <row r="267" spans="1:1" x14ac:dyDescent="0.3">
      <c r="A267" s="9">
        <v>46288</v>
      </c>
    </row>
    <row r="268" spans="1:1" x14ac:dyDescent="0.3">
      <c r="A268" s="9">
        <v>46289</v>
      </c>
    </row>
    <row r="269" spans="1:1" x14ac:dyDescent="0.3">
      <c r="A269" s="9">
        <v>46290</v>
      </c>
    </row>
    <row r="270" spans="1:1" x14ac:dyDescent="0.3">
      <c r="A270" s="9">
        <v>46291</v>
      </c>
    </row>
    <row r="271" spans="1:1" x14ac:dyDescent="0.3">
      <c r="A271" s="9">
        <v>46292</v>
      </c>
    </row>
    <row r="272" spans="1:1" x14ac:dyDescent="0.3">
      <c r="A272" s="9">
        <v>46293</v>
      </c>
    </row>
    <row r="273" spans="1:1" x14ac:dyDescent="0.3">
      <c r="A273" s="9">
        <v>46294</v>
      </c>
    </row>
    <row r="274" spans="1:1" x14ac:dyDescent="0.3">
      <c r="A274" s="9">
        <v>46295</v>
      </c>
    </row>
    <row r="275" spans="1:1" x14ac:dyDescent="0.3">
      <c r="A275" s="9">
        <v>46296</v>
      </c>
    </row>
    <row r="276" spans="1:1" x14ac:dyDescent="0.3">
      <c r="A276" s="9">
        <v>46297</v>
      </c>
    </row>
    <row r="277" spans="1:1" x14ac:dyDescent="0.3">
      <c r="A277" s="9">
        <v>46298</v>
      </c>
    </row>
    <row r="278" spans="1:1" x14ac:dyDescent="0.3">
      <c r="A278" s="9">
        <v>46299</v>
      </c>
    </row>
    <row r="279" spans="1:1" x14ac:dyDescent="0.3">
      <c r="A279" s="9">
        <v>46300</v>
      </c>
    </row>
    <row r="280" spans="1:1" x14ac:dyDescent="0.3">
      <c r="A280" s="9">
        <v>46301</v>
      </c>
    </row>
    <row r="281" spans="1:1" x14ac:dyDescent="0.3">
      <c r="A281" s="9">
        <v>46302</v>
      </c>
    </row>
    <row r="282" spans="1:1" x14ac:dyDescent="0.3">
      <c r="A282" s="9">
        <v>46303</v>
      </c>
    </row>
    <row r="283" spans="1:1" x14ac:dyDescent="0.3">
      <c r="A283" s="9">
        <v>46304</v>
      </c>
    </row>
    <row r="284" spans="1:1" x14ac:dyDescent="0.3">
      <c r="A284" s="9">
        <v>46305</v>
      </c>
    </row>
    <row r="285" spans="1:1" x14ac:dyDescent="0.3">
      <c r="A285" s="9">
        <v>46306</v>
      </c>
    </row>
    <row r="286" spans="1:1" x14ac:dyDescent="0.3">
      <c r="A286" s="9">
        <v>46307</v>
      </c>
    </row>
    <row r="287" spans="1:1" x14ac:dyDescent="0.3">
      <c r="A287" s="9">
        <v>46308</v>
      </c>
    </row>
    <row r="288" spans="1:1" x14ac:dyDescent="0.3">
      <c r="A288" s="9">
        <v>46309</v>
      </c>
    </row>
    <row r="289" spans="1:1" x14ac:dyDescent="0.3">
      <c r="A289" s="9">
        <v>46310</v>
      </c>
    </row>
    <row r="290" spans="1:1" x14ac:dyDescent="0.3">
      <c r="A290" s="9">
        <v>46311</v>
      </c>
    </row>
    <row r="291" spans="1:1" x14ac:dyDescent="0.3">
      <c r="A291" s="9">
        <v>46312</v>
      </c>
    </row>
    <row r="292" spans="1:1" x14ac:dyDescent="0.3">
      <c r="A292" s="9">
        <v>46313</v>
      </c>
    </row>
    <row r="293" spans="1:1" x14ac:dyDescent="0.3">
      <c r="A293" s="9">
        <v>46314</v>
      </c>
    </row>
    <row r="294" spans="1:1" x14ac:dyDescent="0.3">
      <c r="A294" s="9">
        <v>46315</v>
      </c>
    </row>
    <row r="295" spans="1:1" x14ac:dyDescent="0.3">
      <c r="A295" s="9">
        <v>46316</v>
      </c>
    </row>
    <row r="296" spans="1:1" x14ac:dyDescent="0.3">
      <c r="A296" s="9">
        <v>46317</v>
      </c>
    </row>
    <row r="297" spans="1:1" x14ac:dyDescent="0.3">
      <c r="A297" s="9">
        <v>46318</v>
      </c>
    </row>
    <row r="298" spans="1:1" x14ac:dyDescent="0.3">
      <c r="A298" s="9">
        <v>46319</v>
      </c>
    </row>
    <row r="299" spans="1:1" x14ac:dyDescent="0.3">
      <c r="A299" s="9">
        <v>46320</v>
      </c>
    </row>
    <row r="300" spans="1:1" x14ac:dyDescent="0.3">
      <c r="A300" s="9">
        <v>46321</v>
      </c>
    </row>
    <row r="301" spans="1:1" x14ac:dyDescent="0.3">
      <c r="A301" s="9">
        <v>46322</v>
      </c>
    </row>
    <row r="302" spans="1:1" x14ac:dyDescent="0.3">
      <c r="A302" s="9">
        <v>46323</v>
      </c>
    </row>
    <row r="303" spans="1:1" x14ac:dyDescent="0.3">
      <c r="A303" s="9">
        <v>46324</v>
      </c>
    </row>
    <row r="304" spans="1:1" x14ac:dyDescent="0.3">
      <c r="A304" s="9">
        <v>46325</v>
      </c>
    </row>
    <row r="305" spans="1:1" x14ac:dyDescent="0.3">
      <c r="A305" s="9">
        <v>46326</v>
      </c>
    </row>
    <row r="306" spans="1:1" x14ac:dyDescent="0.3">
      <c r="A306" s="9">
        <v>46327</v>
      </c>
    </row>
    <row r="307" spans="1:1" x14ac:dyDescent="0.3">
      <c r="A307" s="9">
        <v>46328</v>
      </c>
    </row>
    <row r="308" spans="1:1" x14ac:dyDescent="0.3">
      <c r="A308" s="9">
        <v>46329</v>
      </c>
    </row>
    <row r="309" spans="1:1" x14ac:dyDescent="0.3">
      <c r="A309" s="9">
        <v>46330</v>
      </c>
    </row>
    <row r="310" spans="1:1" x14ac:dyDescent="0.3">
      <c r="A310" s="9">
        <v>46331</v>
      </c>
    </row>
    <row r="311" spans="1:1" x14ac:dyDescent="0.3">
      <c r="A311" s="9">
        <v>46332</v>
      </c>
    </row>
    <row r="312" spans="1:1" x14ac:dyDescent="0.3">
      <c r="A312" s="9">
        <v>46333</v>
      </c>
    </row>
    <row r="313" spans="1:1" x14ac:dyDescent="0.3">
      <c r="A313" s="9">
        <v>46334</v>
      </c>
    </row>
    <row r="314" spans="1:1" x14ac:dyDescent="0.3">
      <c r="A314" s="9">
        <v>46335</v>
      </c>
    </row>
    <row r="315" spans="1:1" x14ac:dyDescent="0.3">
      <c r="A315" s="9">
        <v>46336</v>
      </c>
    </row>
    <row r="316" spans="1:1" x14ac:dyDescent="0.3">
      <c r="A316" s="9">
        <v>46337</v>
      </c>
    </row>
    <row r="317" spans="1:1" x14ac:dyDescent="0.3">
      <c r="A317" s="9">
        <v>46338</v>
      </c>
    </row>
    <row r="318" spans="1:1" x14ac:dyDescent="0.3">
      <c r="A318" s="9">
        <v>46339</v>
      </c>
    </row>
    <row r="319" spans="1:1" x14ac:dyDescent="0.3">
      <c r="A319" s="9">
        <v>46340</v>
      </c>
    </row>
    <row r="320" spans="1:1" x14ac:dyDescent="0.3">
      <c r="A320" s="9">
        <v>46341</v>
      </c>
    </row>
    <row r="321" spans="1:1" x14ac:dyDescent="0.3">
      <c r="A321" s="9">
        <v>46342</v>
      </c>
    </row>
    <row r="322" spans="1:1" x14ac:dyDescent="0.3">
      <c r="A322" s="9">
        <v>46343</v>
      </c>
    </row>
    <row r="323" spans="1:1" x14ac:dyDescent="0.3">
      <c r="A323" s="9">
        <v>46344</v>
      </c>
    </row>
    <row r="324" spans="1:1" x14ac:dyDescent="0.3">
      <c r="A324" s="9">
        <v>46345</v>
      </c>
    </row>
    <row r="325" spans="1:1" x14ac:dyDescent="0.3">
      <c r="A325" s="9">
        <v>46346</v>
      </c>
    </row>
    <row r="326" spans="1:1" x14ac:dyDescent="0.3">
      <c r="A326" s="9">
        <v>46347</v>
      </c>
    </row>
    <row r="327" spans="1:1" x14ac:dyDescent="0.3">
      <c r="A327" s="9">
        <v>46348</v>
      </c>
    </row>
    <row r="328" spans="1:1" x14ac:dyDescent="0.3">
      <c r="A328" s="9">
        <v>46349</v>
      </c>
    </row>
    <row r="329" spans="1:1" x14ac:dyDescent="0.3">
      <c r="A329" s="9">
        <v>46350</v>
      </c>
    </row>
    <row r="330" spans="1:1" x14ac:dyDescent="0.3">
      <c r="A330" s="9">
        <v>46351</v>
      </c>
    </row>
    <row r="331" spans="1:1" x14ac:dyDescent="0.3">
      <c r="A331" s="9">
        <v>46352</v>
      </c>
    </row>
    <row r="332" spans="1:1" x14ac:dyDescent="0.3">
      <c r="A332" s="9">
        <v>46353</v>
      </c>
    </row>
    <row r="333" spans="1:1" x14ac:dyDescent="0.3">
      <c r="A333" s="9">
        <v>46354</v>
      </c>
    </row>
    <row r="334" spans="1:1" x14ac:dyDescent="0.3">
      <c r="A334" s="9">
        <v>46355</v>
      </c>
    </row>
    <row r="335" spans="1:1" x14ac:dyDescent="0.3">
      <c r="A335" s="9">
        <v>46356</v>
      </c>
    </row>
    <row r="336" spans="1:1" x14ac:dyDescent="0.3">
      <c r="A336" s="9">
        <v>46357</v>
      </c>
    </row>
    <row r="337" spans="1:1" x14ac:dyDescent="0.3">
      <c r="A337" s="9">
        <v>46358</v>
      </c>
    </row>
    <row r="338" spans="1:1" x14ac:dyDescent="0.3">
      <c r="A338" s="9">
        <v>46359</v>
      </c>
    </row>
    <row r="339" spans="1:1" x14ac:dyDescent="0.3">
      <c r="A339" s="9">
        <v>46360</v>
      </c>
    </row>
    <row r="340" spans="1:1" x14ac:dyDescent="0.3">
      <c r="A340" s="9">
        <v>46361</v>
      </c>
    </row>
    <row r="341" spans="1:1" x14ac:dyDescent="0.3">
      <c r="A341" s="9">
        <v>46362</v>
      </c>
    </row>
    <row r="342" spans="1:1" x14ac:dyDescent="0.3">
      <c r="A342" s="9">
        <v>46363</v>
      </c>
    </row>
    <row r="343" spans="1:1" x14ac:dyDescent="0.3">
      <c r="A343" s="9">
        <v>46364</v>
      </c>
    </row>
    <row r="344" spans="1:1" x14ac:dyDescent="0.3">
      <c r="A344" s="9">
        <v>46365</v>
      </c>
    </row>
    <row r="345" spans="1:1" x14ac:dyDescent="0.3">
      <c r="A345" s="9">
        <v>46366</v>
      </c>
    </row>
    <row r="346" spans="1:1" x14ac:dyDescent="0.3">
      <c r="A346" s="9">
        <v>46367</v>
      </c>
    </row>
    <row r="347" spans="1:1" x14ac:dyDescent="0.3">
      <c r="A347" s="9">
        <v>46368</v>
      </c>
    </row>
    <row r="348" spans="1:1" x14ac:dyDescent="0.3">
      <c r="A348" s="9">
        <v>46369</v>
      </c>
    </row>
    <row r="349" spans="1:1" x14ac:dyDescent="0.3">
      <c r="A349" s="9">
        <v>46370</v>
      </c>
    </row>
    <row r="350" spans="1:1" x14ac:dyDescent="0.3">
      <c r="A350" s="9">
        <v>46371</v>
      </c>
    </row>
    <row r="351" spans="1:1" x14ac:dyDescent="0.3">
      <c r="A351" s="9">
        <v>46372</v>
      </c>
    </row>
    <row r="352" spans="1:1" x14ac:dyDescent="0.3">
      <c r="A352" s="9">
        <v>46373</v>
      </c>
    </row>
    <row r="353" spans="1:1" x14ac:dyDescent="0.3">
      <c r="A353" s="9">
        <v>46374</v>
      </c>
    </row>
    <row r="354" spans="1:1" x14ac:dyDescent="0.3">
      <c r="A354" s="9">
        <v>46375</v>
      </c>
    </row>
    <row r="355" spans="1:1" x14ac:dyDescent="0.3">
      <c r="A355" s="9">
        <v>46376</v>
      </c>
    </row>
    <row r="356" spans="1:1" x14ac:dyDescent="0.3">
      <c r="A356" s="9">
        <v>46377</v>
      </c>
    </row>
    <row r="357" spans="1:1" x14ac:dyDescent="0.3">
      <c r="A357" s="9">
        <v>46378</v>
      </c>
    </row>
    <row r="358" spans="1:1" x14ac:dyDescent="0.3">
      <c r="A358" s="9">
        <v>46379</v>
      </c>
    </row>
    <row r="359" spans="1:1" x14ac:dyDescent="0.3">
      <c r="A359" s="9">
        <v>46380</v>
      </c>
    </row>
    <row r="360" spans="1:1" x14ac:dyDescent="0.3">
      <c r="A360" s="9">
        <v>46381</v>
      </c>
    </row>
    <row r="361" spans="1:1" x14ac:dyDescent="0.3">
      <c r="A361" s="9">
        <v>46382</v>
      </c>
    </row>
    <row r="362" spans="1:1" x14ac:dyDescent="0.3">
      <c r="A362" s="9">
        <v>46383</v>
      </c>
    </row>
    <row r="363" spans="1:1" x14ac:dyDescent="0.3">
      <c r="A363" s="9">
        <v>46384</v>
      </c>
    </row>
    <row r="364" spans="1:1" x14ac:dyDescent="0.3">
      <c r="A364" s="9">
        <v>46385</v>
      </c>
    </row>
    <row r="365" spans="1:1" x14ac:dyDescent="0.3">
      <c r="A365" s="9">
        <v>46386</v>
      </c>
    </row>
    <row r="366" spans="1:1" x14ac:dyDescent="0.3">
      <c r="A366" s="9">
        <v>46387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BD75C3E4D82468175A6E71DD6E881" ma:contentTypeVersion="10" ma:contentTypeDescription="Create a new document." ma:contentTypeScope="" ma:versionID="6ca9e2fe2cf7fe763297b4a29bccaf23">
  <xsd:schema xmlns:xsd="http://www.w3.org/2001/XMLSchema" xmlns:xs="http://www.w3.org/2001/XMLSchema" xmlns:p="http://schemas.microsoft.com/office/2006/metadata/properties" xmlns:ns3="d7fc22f7-d1a8-4ce2-946a-6340debc8632" targetNamespace="http://schemas.microsoft.com/office/2006/metadata/properties" ma:root="true" ma:fieldsID="0c8b01b2831dcd2428b563396f35457a" ns3:_="">
    <xsd:import namespace="d7fc22f7-d1a8-4ce2-946a-6340debc86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c22f7-d1a8-4ce2-946a-6340debc86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fc22f7-d1a8-4ce2-946a-6340debc8632" xsi:nil="true"/>
  </documentManagement>
</p:properties>
</file>

<file path=customXml/itemProps1.xml><?xml version="1.0" encoding="utf-8"?>
<ds:datastoreItem xmlns:ds="http://schemas.openxmlformats.org/officeDocument/2006/customXml" ds:itemID="{42A628AA-15D5-47A4-9AA4-9A9EF11970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fc22f7-d1a8-4ce2-946a-6340debc86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FB8383-7B3D-4B2E-9392-2FB3D4D3EB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DAD426-0B93-410A-8C3B-EC2EAB66465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d7fc22f7-d1a8-4ce2-946a-6340debc863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pending_system</vt:lpstr>
      <vt:lpstr>systems</vt:lpstr>
      <vt:lpstr>attendance</vt:lpstr>
      <vt:lpstr>users</vt:lpstr>
      <vt:lpstr>unit_1</vt:lpstr>
      <vt:lpstr>unit_2_dailyCA1</vt:lpstr>
      <vt:lpstr>requests for unit_2 daily</vt:lpstr>
      <vt:lpstr>requests for unit 2 monthly FRA</vt:lpstr>
      <vt:lpstr>unit 2 monthly SAREQ &amp;QA</vt:lpstr>
      <vt:lpstr>unit_3</vt:lpstr>
      <vt:lpstr>unit_4</vt:lpstr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عبدالغنى احمد حسنى الشرشابى</dc:creator>
  <cp:lastModifiedBy>عبدالغنى احمد حسنى الشرشابى</cp:lastModifiedBy>
  <dcterms:created xsi:type="dcterms:W3CDTF">2026-02-14T12:03:57Z</dcterms:created>
  <dcterms:modified xsi:type="dcterms:W3CDTF">2026-02-16T09:04:18Z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0x010100182BD75C3E4D82468175A6E71DD6E881</vt:lpwstr>
  </property>
</Properties>
</file>